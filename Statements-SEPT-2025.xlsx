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ion Summary" sheetId="1" r:id="rId4"/>
    <sheet state="visible" name="Account" sheetId="2" r:id="rId5"/>
    <sheet state="visible" name="Calcs" sheetId="3" r:id="rId6"/>
  </sheets>
  <definedNames/>
  <calcPr/>
  <extLst>
    <ext uri="GoogleSheetsCustomDataVersion2">
      <go:sheetsCustomData xmlns:go="http://customooxmlschemas.google.com/" r:id="rId7" roundtripDataChecksum="1dcj8hUc5SwW6h9i8yVw7JerIV9MWmU+G4CzEA7pGV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2">
      <text>
        <t xml:space="preserve">======
ID#AAABsO1244w
Arnab Senapati    (2025-10-11 04:15:18)
paid on 1st OCT</t>
      </text>
    </comment>
    <comment authorId="0" ref="O32">
      <text>
        <t xml:space="preserve">======
ID#AAABsO1244s
Arnab Senapati    (2025-10-11 03:38:46)
paid on 2nd October</t>
      </text>
    </comment>
    <comment authorId="0" ref="K28">
      <text>
        <t xml:space="preserve">======
ID#AAABqsLNo5I
Arnab Senapati    (2025-09-07 11:24:50)
Jul-Sept - 10500 pending</t>
      </text>
    </comment>
    <comment authorId="0" ref="F3">
      <text>
        <t xml:space="preserve">======
ID#AAABqsLNo44
Arnab Senapati    (2025-09-07 10:52:26)
Adjustment for garbage area cost (21000)</t>
      </text>
    </comment>
  </commentList>
  <extLst>
    <ext uri="GoogleSheetsCustomDataVersion2">
      <go:sheetsCustomData xmlns:go="http://customooxmlschemas.google.com/" r:id="rId1" roundtripDataSignature="AMtx7mgDI6g5bIAu9hcrbDEAs5JON+e5j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6">
      <text>
        <t xml:space="preserve">======
ID#AAABqsLNo5A
Arnab Senapati    (2025-09-07 11:02:05)
Shiva Murthy's balance moved to other dues below</t>
      </text>
    </comment>
    <comment authorId="0" ref="C4">
      <text>
        <t xml:space="preserve">======
ID#AAABqsLNo48
Arnab Senapati    (2025-09-07 10:59:02)
Shiva Murthy's balance moved to other dues below</t>
      </text>
    </comment>
  </commentList>
  <extLst>
    <ext uri="GoogleSheetsCustomDataVersion2">
      <go:sheetsCustomData xmlns:go="http://customooxmlschemas.google.com/" r:id="rId1" roundtripDataSignature="AMtx7mjxIqsAfWl7d/6AcALFT2DiDTkTcQ=="/>
    </ext>
  </extLst>
</comments>
</file>

<file path=xl/sharedStrings.xml><?xml version="1.0" encoding="utf-8"?>
<sst xmlns="http://schemas.openxmlformats.org/spreadsheetml/2006/main" count="336" uniqueCount="179">
  <si>
    <t xml:space="preserve">As On </t>
  </si>
  <si>
    <t>Block</t>
  </si>
  <si>
    <t>Flat</t>
  </si>
  <si>
    <t>Owned</t>
  </si>
  <si>
    <t>Paid</t>
  </si>
  <si>
    <t>Dues</t>
  </si>
  <si>
    <t>Manoj</t>
  </si>
  <si>
    <t>A</t>
  </si>
  <si>
    <t>001</t>
  </si>
  <si>
    <t>Manoj Singh</t>
  </si>
  <si>
    <t>B</t>
  </si>
  <si>
    <t>002</t>
  </si>
  <si>
    <t>Collected By Arnab for From Owners</t>
  </si>
  <si>
    <t>003</t>
  </si>
  <si>
    <t>Derrick</t>
  </si>
  <si>
    <t>004</t>
  </si>
  <si>
    <t>Madhu</t>
  </si>
  <si>
    <t>005</t>
  </si>
  <si>
    <t>Mallesh</t>
  </si>
  <si>
    <t>006</t>
  </si>
  <si>
    <t>Ganti ram</t>
  </si>
  <si>
    <t>Collected By Arnab From Shivamurthy and his tenant</t>
  </si>
  <si>
    <t>Rupsen</t>
  </si>
  <si>
    <t>Chandrkanth</t>
  </si>
  <si>
    <t>Dhanuskodi</t>
  </si>
  <si>
    <t>Lousi</t>
  </si>
  <si>
    <t>Collected By Arnab From Sisters 3 flats</t>
  </si>
  <si>
    <t>Vishwa</t>
  </si>
  <si>
    <t>Venkat</t>
  </si>
  <si>
    <t>Geetika</t>
  </si>
  <si>
    <t>Sravan</t>
  </si>
  <si>
    <t>Collected by Arnab fromPadmaraju tenant</t>
  </si>
  <si>
    <t>Jegan</t>
  </si>
  <si>
    <t>Anumolu</t>
  </si>
  <si>
    <t>Vidya</t>
  </si>
  <si>
    <t>Mallikarjun</t>
  </si>
  <si>
    <t>Collected by Arnab from Dharnesh and his Tenant</t>
  </si>
  <si>
    <t>Venugopal Pillai</t>
  </si>
  <si>
    <t>Murali</t>
  </si>
  <si>
    <t>Ramesh</t>
  </si>
  <si>
    <t>Maintenence Collected By Arnab</t>
  </si>
  <si>
    <t>Shankar</t>
  </si>
  <si>
    <t>Abraham</t>
  </si>
  <si>
    <t>Selvam</t>
  </si>
  <si>
    <t>Maintenence collected by Aanand</t>
  </si>
  <si>
    <t>Anand</t>
  </si>
  <si>
    <t>Ramkumar</t>
  </si>
  <si>
    <t>Arun</t>
  </si>
  <si>
    <t>Arungiri</t>
  </si>
  <si>
    <t>Maintenence collected by Venkat</t>
  </si>
  <si>
    <t>Shurud</t>
  </si>
  <si>
    <t>Arnab</t>
  </si>
  <si>
    <t>Preethi</t>
  </si>
  <si>
    <t xml:space="preserve">Saicharan </t>
  </si>
  <si>
    <t>Satish</t>
  </si>
  <si>
    <t>Sukumar</t>
  </si>
  <si>
    <t>Total</t>
  </si>
  <si>
    <t>Owned by</t>
  </si>
  <si>
    <t>Dharnesh</t>
  </si>
  <si>
    <t>Padmaraju</t>
  </si>
  <si>
    <t>AS</t>
  </si>
  <si>
    <t>N. Vasantha</t>
  </si>
  <si>
    <t>Dharnesh's 8 Flats</t>
  </si>
  <si>
    <t>Shiva Murthy</t>
  </si>
  <si>
    <t>PadmaRaju 8 Flats</t>
  </si>
  <si>
    <t>Lalithamma</t>
  </si>
  <si>
    <t>Prema</t>
  </si>
  <si>
    <t>Shivamurthy Paid to Arnab 8flats + A004</t>
  </si>
  <si>
    <t>Shivamurthy s 8 Flats</t>
  </si>
  <si>
    <t>A004, B104, B106</t>
  </si>
  <si>
    <t>Total  Dues From Padmaraju/Sisters</t>
  </si>
  <si>
    <t>Statement of Accounts</t>
  </si>
  <si>
    <t>Date</t>
  </si>
  <si>
    <t>Description</t>
  </si>
  <si>
    <t>Cash Balance</t>
  </si>
  <si>
    <t>Receipts</t>
  </si>
  <si>
    <t>Payments</t>
  </si>
  <si>
    <t>Ref #</t>
  </si>
  <si>
    <t>Comments</t>
  </si>
  <si>
    <t>Rs.</t>
  </si>
  <si>
    <t>Balance B/D</t>
  </si>
  <si>
    <t>Recurring Expenses</t>
  </si>
  <si>
    <t>Housekeeping Salary</t>
  </si>
  <si>
    <t>Security Salary</t>
  </si>
  <si>
    <t>Mallappa(garbage)</t>
  </si>
  <si>
    <t>Pandu(bwssb)</t>
  </si>
  <si>
    <t>paid by venkat</t>
  </si>
  <si>
    <t>Water Tanker</t>
  </si>
  <si>
    <t>BESCOM A wing</t>
  </si>
  <si>
    <t>Paid by Anand</t>
  </si>
  <si>
    <t>BESCOM B wing</t>
  </si>
  <si>
    <t>BWSSB - Water Bill</t>
  </si>
  <si>
    <t>Variable Expenses</t>
  </si>
  <si>
    <t>Diesel</t>
  </si>
  <si>
    <t>Lift AMC</t>
  </si>
  <si>
    <t>Generator AMC</t>
  </si>
  <si>
    <t>Kerosene</t>
  </si>
  <si>
    <t>Housekeeping accessories</t>
  </si>
  <si>
    <t>drum,bulbs,mask,mop,broom</t>
  </si>
  <si>
    <t>Plumbing Work</t>
  </si>
  <si>
    <t>Shivamurthy's 8 Flats</t>
  </si>
  <si>
    <t>Padmaruju's 8 Flats</t>
  </si>
  <si>
    <t>Maintenance A wing</t>
  </si>
  <si>
    <t xml:space="preserve">Maintenance B wing </t>
  </si>
  <si>
    <t>Closing Balance for the month</t>
  </si>
  <si>
    <t xml:space="preserve">Account Balance flow </t>
  </si>
  <si>
    <t>Arunagiri</t>
  </si>
  <si>
    <t>Opening Balance</t>
  </si>
  <si>
    <t>Add: Received during the month</t>
  </si>
  <si>
    <t>Account Transfer</t>
  </si>
  <si>
    <t xml:space="preserve">Maintenance </t>
  </si>
  <si>
    <t>Maintenance Due Increase/Decrease</t>
  </si>
  <si>
    <t>Less: Paid during the month</t>
  </si>
  <si>
    <t>Lift/Genset/cctv/pump Amc/Repair</t>
  </si>
  <si>
    <t>BESCOM+BWSSB</t>
  </si>
  <si>
    <t>Pandu</t>
  </si>
  <si>
    <t>Water</t>
  </si>
  <si>
    <t>Security+Malappa</t>
  </si>
  <si>
    <t>Housekeeping</t>
  </si>
  <si>
    <t>Others</t>
  </si>
  <si>
    <t xml:space="preserve">Closing Balance  </t>
  </si>
  <si>
    <t>Account Transfers</t>
  </si>
  <si>
    <t>From</t>
  </si>
  <si>
    <t>To</t>
  </si>
  <si>
    <t>Amount</t>
  </si>
  <si>
    <t>Other Dues</t>
  </si>
  <si>
    <t>Gym room rent dues</t>
  </si>
  <si>
    <t>B-104</t>
  </si>
  <si>
    <t>To be Paid</t>
  </si>
  <si>
    <t>B-206</t>
  </si>
  <si>
    <t>A-402</t>
  </si>
  <si>
    <t>Jul'25</t>
  </si>
  <si>
    <t>Nov'20</t>
  </si>
  <si>
    <t>May' - Sept 24</t>
  </si>
  <si>
    <t>Aug'25</t>
  </si>
  <si>
    <t>Dec'20</t>
  </si>
  <si>
    <t>Total Due</t>
  </si>
  <si>
    <t>Jan'21</t>
  </si>
  <si>
    <t>Feb'21</t>
  </si>
  <si>
    <t>Total Dues AdjustMent For Current Month</t>
  </si>
  <si>
    <t>Mar'21</t>
  </si>
  <si>
    <t>A-306</t>
  </si>
  <si>
    <t>Apr'21</t>
  </si>
  <si>
    <t>prev bal</t>
  </si>
  <si>
    <t>May'21</t>
  </si>
  <si>
    <t>Jun'23</t>
  </si>
  <si>
    <t>Jun'21</t>
  </si>
  <si>
    <t>Jul'21</t>
  </si>
  <si>
    <t>Aug'21</t>
  </si>
  <si>
    <t>A-106</t>
  </si>
  <si>
    <t>Sep '21</t>
  </si>
  <si>
    <t>Oct'20</t>
  </si>
  <si>
    <t>OCT'21</t>
  </si>
  <si>
    <t>Nov'21</t>
  </si>
  <si>
    <t>Dec'21</t>
  </si>
  <si>
    <t>JAN - DEC'21</t>
  </si>
  <si>
    <t>Jan'22</t>
  </si>
  <si>
    <t>JAN - MAR'22</t>
  </si>
  <si>
    <t>Feb-Apr'22</t>
  </si>
  <si>
    <t>Apr-Jun'22</t>
  </si>
  <si>
    <t>No Due</t>
  </si>
  <si>
    <t>May'22</t>
  </si>
  <si>
    <t>Jun'22</t>
  </si>
  <si>
    <t>Jul'22</t>
  </si>
  <si>
    <t>Aug'22</t>
  </si>
  <si>
    <t>A-301</t>
  </si>
  <si>
    <t>Sep '22</t>
  </si>
  <si>
    <t>Oct'22-Feb'23</t>
  </si>
  <si>
    <t>Mar'23</t>
  </si>
  <si>
    <t>No Dues</t>
  </si>
  <si>
    <t>Apr'23</t>
  </si>
  <si>
    <t>May;23</t>
  </si>
  <si>
    <t>Jul-Aug'23</t>
  </si>
  <si>
    <t>no dues</t>
  </si>
  <si>
    <t>Sep'23</t>
  </si>
  <si>
    <t>Oct-Dec'23</t>
  </si>
  <si>
    <t>Jan'24</t>
  </si>
  <si>
    <t>Feb-Mar'24</t>
  </si>
  <si>
    <t>April'24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</si>
</sst>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"/>
    <numFmt numFmtId="165" formatCode="_(* #,##0_);_(* \(#,##0\);_(* &quot;-&quot;??_);_(@_)"/>
    <numFmt numFmtId="166" formatCode="d\-mmm\-yy"/>
    <numFmt numFmtId="167" formatCode="[$-409]d\-mmm\-yy"/>
    <numFmt numFmtId="168" formatCode="d mmm"/>
  </numFmts>
  <fonts count="16">
    <font>
      <sz val="11.0"/>
      <color rgb="FF000000"/>
      <name val="Calibri"/>
      <scheme val="minor"/>
    </font>
    <font>
      <sz val="11.0"/>
      <color theme="0"/>
      <name val="Inconsolata"/>
    </font>
    <font>
      <b/>
      <sz val="11.0"/>
      <color rgb="FF000000"/>
      <name val="Calibri"/>
    </font>
    <font/>
    <font>
      <b/>
      <sz val="11.0"/>
      <color rgb="FFFFFFFF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FFFFFF"/>
      <name val="Calibri"/>
    </font>
    <font>
      <color theme="1"/>
      <name val="Calibri"/>
      <scheme val="minor"/>
    </font>
    <font>
      <b/>
      <sz val="14.0"/>
      <color rgb="FFFFFFFF"/>
      <name val="Calibri"/>
    </font>
    <font>
      <b/>
      <sz val="10.0"/>
      <color rgb="FF000000"/>
      <name val="Calibri"/>
    </font>
    <font>
      <sz val="14.0"/>
      <color rgb="FF000000"/>
      <name val="Calibri"/>
    </font>
    <font>
      <sz val="18.0"/>
      <color rgb="FF000000"/>
      <name val="Calibri"/>
    </font>
    <font>
      <b/>
      <sz val="14.0"/>
      <color rgb="FF000000"/>
      <name val="Calibri"/>
    </font>
    <font>
      <b/>
      <sz val="11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000000"/>
        <bgColor rgb="FF000000"/>
      </patternFill>
    </fill>
    <fill>
      <patternFill patternType="solid">
        <fgColor rgb="FF002060"/>
        <bgColor rgb="FF00206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A5A5A5"/>
        <bgColor rgb="FFA5A5A5"/>
      </patternFill>
    </fill>
    <fill>
      <patternFill patternType="solid">
        <fgColor rgb="FFF9CB9C"/>
        <bgColor rgb="FFF9CB9C"/>
      </patternFill>
    </fill>
    <fill>
      <patternFill patternType="solid">
        <fgColor rgb="FFCC0000"/>
        <bgColor rgb="FFCC0000"/>
      </patternFill>
    </fill>
  </fills>
  <borders count="39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/>
    </xf>
    <xf borderId="0" fillId="0" fontId="2" numFmtId="0" xfId="0" applyFont="1"/>
    <xf borderId="1" fillId="3" fontId="2" numFmtId="0" xfId="0" applyBorder="1" applyFill="1" applyFont="1"/>
    <xf borderId="2" fillId="0" fontId="3" numFmtId="0" xfId="0" applyBorder="1" applyFont="1"/>
    <xf borderId="3" fillId="4" fontId="4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center"/>
    </xf>
    <xf borderId="1" fillId="3" fontId="5" numFmtId="0" xfId="0" applyBorder="1" applyFont="1"/>
    <xf borderId="3" fillId="4" fontId="4" numFmtId="0" xfId="0" applyBorder="1" applyFont="1"/>
    <xf borderId="0" fillId="0" fontId="6" numFmtId="0" xfId="0" applyFont="1"/>
    <xf borderId="3" fillId="0" fontId="5" numFmtId="0" xfId="0" applyAlignment="1" applyBorder="1" applyFont="1">
      <alignment horizontal="center"/>
    </xf>
    <xf quotePrefix="1" borderId="3" fillId="0" fontId="5" numFmtId="0" xfId="0" applyAlignment="1" applyBorder="1" applyFont="1">
      <alignment horizontal="center"/>
    </xf>
    <xf borderId="3" fillId="0" fontId="5" numFmtId="0" xfId="0" applyBorder="1" applyFont="1"/>
    <xf borderId="3" fillId="5" fontId="5" numFmtId="0" xfId="0" applyBorder="1" applyFill="1" applyFont="1"/>
    <xf borderId="3" fillId="0" fontId="5" numFmtId="0" xfId="0" applyAlignment="1" applyBorder="1" applyFont="1">
      <alignment readingOrder="0"/>
    </xf>
    <xf borderId="0" fillId="6" fontId="6" numFmtId="0" xfId="0" applyFill="1" applyFont="1"/>
    <xf borderId="0" fillId="0" fontId="5" numFmtId="0" xfId="0" applyAlignment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0" fillId="0" fontId="5" numFmtId="0" xfId="0" applyFont="1"/>
    <xf borderId="3" fillId="7" fontId="8" numFmtId="0" xfId="0" applyBorder="1" applyFill="1" applyFont="1"/>
    <xf borderId="3" fillId="8" fontId="5" numFmtId="0" xfId="0" applyAlignment="1" applyBorder="1" applyFill="1" applyFont="1">
      <alignment horizontal="center"/>
    </xf>
    <xf borderId="3" fillId="8" fontId="5" numFmtId="0" xfId="0" applyBorder="1" applyFont="1"/>
    <xf borderId="3" fillId="7" fontId="8" numFmtId="0" xfId="0" applyAlignment="1" applyBorder="1" applyFont="1">
      <alignment readingOrder="0"/>
    </xf>
    <xf borderId="3" fillId="0" fontId="8" numFmtId="0" xfId="0" applyBorder="1" applyFont="1"/>
    <xf borderId="4" fillId="0" fontId="5" numFmtId="0" xfId="0" applyAlignment="1" applyBorder="1" applyFont="1">
      <alignment horizontal="center"/>
    </xf>
    <xf borderId="4" fillId="0" fontId="5" numFmtId="0" xfId="0" applyBorder="1" applyFont="1"/>
    <xf borderId="3" fillId="0" fontId="2" numFmtId="0" xfId="0" applyAlignment="1" applyBorder="1" applyFont="1">
      <alignment horizontal="center"/>
    </xf>
    <xf borderId="3" fillId="0" fontId="2" numFmtId="0" xfId="0" applyBorder="1" applyFont="1"/>
    <xf borderId="3" fillId="3" fontId="5" numFmtId="0" xfId="0" applyBorder="1" applyFont="1"/>
    <xf borderId="0" fillId="0" fontId="5" numFmtId="0" xfId="0" applyAlignment="1" applyFont="1">
      <alignment horizontal="left"/>
    </xf>
    <xf quotePrefix="1" borderId="3" fillId="0" fontId="5" numFmtId="49" xfId="0" applyAlignment="1" applyBorder="1" applyFont="1" applyNumberFormat="1">
      <alignment horizontal="center"/>
    </xf>
    <xf borderId="0" fillId="0" fontId="9" numFmtId="0" xfId="0" applyAlignment="1" applyFont="1">
      <alignment readingOrder="0"/>
    </xf>
    <xf borderId="3" fillId="9" fontId="5" numFmtId="0" xfId="0" applyBorder="1" applyFill="1" applyFont="1"/>
    <xf borderId="0" fillId="3" fontId="5" numFmtId="0" xfId="0" applyFont="1"/>
    <xf borderId="5" fillId="4" fontId="10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0" fillId="0" fontId="5" numFmtId="165" xfId="0" applyFont="1" applyNumberFormat="1"/>
    <xf borderId="4" fillId="10" fontId="2" numFmtId="0" xfId="0" applyAlignment="1" applyBorder="1" applyFill="1" applyFont="1">
      <alignment horizontal="center" shrinkToFit="0" vertical="center" wrapText="1"/>
    </xf>
    <xf borderId="3" fillId="10" fontId="2" numFmtId="0" xfId="0" applyAlignment="1" applyBorder="1" applyFont="1">
      <alignment horizontal="center" vertical="center"/>
    </xf>
    <xf borderId="4" fillId="10" fontId="11" numFmtId="0" xfId="0" applyAlignment="1" applyBorder="1" applyFont="1">
      <alignment horizontal="center" shrinkToFit="0" vertical="center" wrapText="1"/>
    </xf>
    <xf borderId="3" fillId="10" fontId="11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3" fillId="0" fontId="5" numFmtId="166" xfId="0" applyAlignment="1" applyBorder="1" applyFont="1" applyNumberFormat="1">
      <alignment readingOrder="0" vertical="center"/>
    </xf>
    <xf borderId="3" fillId="0" fontId="2" numFmtId="0" xfId="0" applyAlignment="1" applyBorder="1" applyFont="1">
      <alignment horizontal="left" shrinkToFit="0" vertical="center" wrapText="1"/>
    </xf>
    <xf borderId="3" fillId="4" fontId="4" numFmtId="165" xfId="0" applyAlignment="1" applyBorder="1" applyFont="1" applyNumberFormat="1">
      <alignment vertical="center"/>
    </xf>
    <xf borderId="3" fillId="0" fontId="2" numFmtId="165" xfId="0" applyBorder="1" applyFont="1" applyNumberFormat="1"/>
    <xf borderId="3" fillId="0" fontId="5" numFmtId="165" xfId="0" applyBorder="1" applyFont="1" applyNumberFormat="1"/>
    <xf borderId="3" fillId="0" fontId="5" numFmtId="165" xfId="0" applyAlignment="1" applyBorder="1" applyFont="1" applyNumberFormat="1">
      <alignment shrinkToFit="0" wrapText="1"/>
    </xf>
    <xf borderId="4" fillId="0" fontId="12" numFmtId="0" xfId="0" applyAlignment="1" applyBorder="1" applyFont="1">
      <alignment textRotation="90" vertical="center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vertical="center"/>
    </xf>
    <xf borderId="3" fillId="0" fontId="5" numFmtId="165" xfId="0" applyAlignment="1" applyBorder="1" applyFont="1" applyNumberFormat="1">
      <alignment shrinkToFit="0" vertical="center" wrapText="1"/>
    </xf>
    <xf borderId="9" fillId="0" fontId="3" numFmtId="0" xfId="0" applyBorder="1" applyFont="1"/>
    <xf borderId="3" fillId="0" fontId="5" numFmtId="165" xfId="0" applyAlignment="1" applyBorder="1" applyFont="1" applyNumberFormat="1">
      <alignment readingOrder="0" vertical="center"/>
    </xf>
    <xf borderId="3" fillId="0" fontId="5" numFmtId="165" xfId="0" applyAlignment="1" applyBorder="1" applyFont="1" applyNumberFormat="1">
      <alignment horizontal="right" readingOrder="0"/>
    </xf>
    <xf borderId="8" fillId="0" fontId="5" numFmtId="165" xfId="0" applyAlignment="1" applyBorder="1" applyFont="1" applyNumberFormat="1">
      <alignment horizontal="right" readingOrder="0"/>
    </xf>
    <xf borderId="8" fillId="0" fontId="5" numFmtId="165" xfId="0" applyAlignment="1" applyBorder="1" applyFont="1" applyNumberFormat="1">
      <alignment readingOrder="0" vertical="center"/>
    </xf>
    <xf borderId="8" fillId="0" fontId="5" numFmtId="165" xfId="0" applyAlignment="1" applyBorder="1" applyFont="1" applyNumberFormat="1">
      <alignment vertical="center"/>
    </xf>
    <xf borderId="4" fillId="0" fontId="12" numFmtId="0" xfId="0" applyAlignment="1" applyBorder="1" applyFont="1">
      <alignment horizontal="center" textRotation="90" vertical="center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165" xfId="0" applyAlignment="1" applyBorder="1" applyFont="1" applyNumberFormat="1">
      <alignment readingOrder="0" shrinkToFit="0" vertical="center" wrapText="1"/>
    </xf>
    <xf borderId="3" fillId="8" fontId="5" numFmtId="167" xfId="0" applyAlignment="1" applyBorder="1" applyFont="1" applyNumberFormat="1">
      <alignment vertical="center"/>
    </xf>
    <xf borderId="10" fillId="8" fontId="5" numFmtId="0" xfId="0" applyAlignment="1" applyBorder="1" applyFont="1">
      <alignment horizontal="left" shrinkToFit="0" vertical="center" wrapText="1"/>
    </xf>
    <xf borderId="10" fillId="8" fontId="5" numFmtId="165" xfId="0" applyBorder="1" applyFont="1" applyNumberFormat="1"/>
    <xf borderId="3" fillId="8" fontId="5" numFmtId="165" xfId="0" applyBorder="1" applyFont="1" applyNumberFormat="1"/>
    <xf borderId="3" fillId="8" fontId="5" numFmtId="165" xfId="0" applyAlignment="1" applyBorder="1" applyFont="1" applyNumberFormat="1">
      <alignment vertical="center"/>
    </xf>
    <xf borderId="3" fillId="8" fontId="5" numFmtId="165" xfId="0" applyAlignment="1" applyBorder="1" applyFont="1" applyNumberFormat="1">
      <alignment shrinkToFit="0" vertical="center" wrapText="1"/>
    </xf>
    <xf borderId="11" fillId="0" fontId="13" numFmtId="0" xfId="0" applyAlignment="1" applyBorder="1" applyFont="1">
      <alignment horizontal="center" textRotation="90" vertical="center"/>
    </xf>
    <xf borderId="7" fillId="0" fontId="5" numFmtId="165" xfId="0" applyBorder="1" applyFont="1" applyNumberFormat="1"/>
    <xf borderId="4" fillId="0" fontId="5" numFmtId="165" xfId="0" applyBorder="1" applyFont="1" applyNumberFormat="1"/>
    <xf borderId="12" fillId="0" fontId="5" numFmtId="165" xfId="0" applyBorder="1" applyFont="1" applyNumberFormat="1"/>
    <xf borderId="4" fillId="0" fontId="5" numFmtId="165" xfId="0" applyAlignment="1" applyBorder="1" applyFont="1" applyNumberFormat="1">
      <alignment vertical="center"/>
    </xf>
    <xf borderId="4" fillId="0" fontId="5" numFmtId="165" xfId="0" applyAlignment="1" applyBorder="1" applyFont="1" applyNumberFormat="1">
      <alignment readingOrder="0"/>
    </xf>
    <xf borderId="12" fillId="0" fontId="5" numFmtId="165" xfId="0" applyAlignment="1" applyBorder="1" applyFont="1" applyNumberFormat="1">
      <alignment vertical="center"/>
    </xf>
    <xf borderId="12" fillId="0" fontId="5" numFmtId="165" xfId="0" applyAlignment="1" applyBorder="1" applyFont="1" applyNumberFormat="1">
      <alignment shrinkToFit="0" vertical="center" wrapText="1"/>
    </xf>
    <xf borderId="9" fillId="0" fontId="13" numFmtId="0" xfId="0" applyAlignment="1" applyBorder="1" applyFont="1">
      <alignment horizontal="center" textRotation="90" vertical="center"/>
    </xf>
    <xf borderId="8" fillId="0" fontId="5" numFmtId="0" xfId="0" applyAlignment="1" applyBorder="1" applyFont="1">
      <alignment horizontal="left" shrinkToFit="0" vertical="center" wrapText="1"/>
    </xf>
    <xf borderId="8" fillId="0" fontId="5" numFmtId="165" xfId="0" applyAlignment="1" applyBorder="1" applyFont="1" applyNumberFormat="1">
      <alignment horizontal="right"/>
    </xf>
    <xf borderId="13" fillId="0" fontId="5" numFmtId="165" xfId="0" applyBorder="1" applyFont="1" applyNumberFormat="1"/>
    <xf borderId="3" fillId="11" fontId="5" numFmtId="167" xfId="0" applyAlignment="1" applyBorder="1" applyFill="1" applyFont="1" applyNumberFormat="1">
      <alignment vertical="center"/>
    </xf>
    <xf borderId="3" fillId="11" fontId="5" numFmtId="0" xfId="0" applyAlignment="1" applyBorder="1" applyFont="1">
      <alignment horizontal="left" shrinkToFit="0" vertical="center" wrapText="1"/>
    </xf>
    <xf borderId="3" fillId="11" fontId="5" numFmtId="165" xfId="0" applyAlignment="1" applyBorder="1" applyFont="1" applyNumberFormat="1">
      <alignment vertical="center"/>
    </xf>
    <xf borderId="3" fillId="11" fontId="5" numFmtId="165" xfId="0" applyAlignment="1" applyBorder="1" applyFont="1" applyNumberFormat="1">
      <alignment horizontal="center" vertical="center"/>
    </xf>
    <xf borderId="3" fillId="11" fontId="5" numFmtId="165" xfId="0" applyAlignment="1" applyBorder="1" applyFont="1" applyNumberFormat="1">
      <alignment shrinkToFit="0" vertical="center" wrapText="1"/>
    </xf>
    <xf borderId="0" fillId="11" fontId="5" numFmtId="0" xfId="0" applyFont="1"/>
    <xf borderId="0" fillId="11" fontId="6" numFmtId="0" xfId="0" applyFont="1"/>
    <xf borderId="3" fillId="0" fontId="2" numFmtId="165" xfId="0" applyAlignment="1" applyBorder="1" applyFont="1" applyNumberFormat="1">
      <alignment horizontal="center" vertical="center"/>
    </xf>
    <xf borderId="3" fillId="12" fontId="2" numFmtId="165" xfId="0" applyAlignment="1" applyBorder="1" applyFill="1" applyFont="1" applyNumberFormat="1">
      <alignment shrinkToFit="0" vertical="center" wrapText="1"/>
    </xf>
    <xf borderId="0" fillId="0" fontId="5" numFmtId="165" xfId="0" applyAlignment="1" applyFont="1" applyNumberFormat="1">
      <alignment shrinkToFit="0" wrapText="1"/>
    </xf>
    <xf borderId="14" fillId="13" fontId="2" numFmtId="0" xfId="0" applyBorder="1" applyFill="1" applyFont="1"/>
    <xf borderId="15" fillId="13" fontId="2" numFmtId="0" xfId="0" applyAlignment="1" applyBorder="1" applyFont="1">
      <alignment horizontal="center"/>
    </xf>
    <xf borderId="16" fillId="13" fontId="2" numFmtId="0" xfId="0" applyAlignment="1" applyBorder="1" applyFont="1">
      <alignment horizontal="center"/>
    </xf>
    <xf borderId="17" fillId="13" fontId="2" numFmtId="0" xfId="0" applyAlignment="1" applyBorder="1" applyFont="1">
      <alignment horizontal="center"/>
    </xf>
    <xf borderId="18" fillId="14" fontId="2" numFmtId="0" xfId="0" applyBorder="1" applyFill="1" applyFont="1"/>
    <xf borderId="19" fillId="4" fontId="4" numFmtId="165" xfId="0" applyAlignment="1" applyBorder="1" applyFont="1" applyNumberFormat="1">
      <alignment vertical="center"/>
    </xf>
    <xf borderId="20" fillId="4" fontId="4" numFmtId="165" xfId="0" applyAlignment="1" applyBorder="1" applyFont="1" applyNumberFormat="1">
      <alignment vertical="center"/>
    </xf>
    <xf borderId="21" fillId="0" fontId="5" numFmtId="0" xfId="0" applyAlignment="1" applyBorder="1" applyFont="1">
      <alignment shrinkToFit="0" wrapText="1"/>
    </xf>
    <xf borderId="0" fillId="0" fontId="2" numFmtId="165" xfId="0" applyAlignment="1" applyFont="1" applyNumberFormat="1">
      <alignment horizontal="center" vertical="center"/>
    </xf>
    <xf borderId="22" fillId="0" fontId="2" numFmtId="165" xfId="0" applyAlignment="1" applyBorder="1" applyFont="1" applyNumberFormat="1">
      <alignment horizontal="center" vertical="center"/>
    </xf>
    <xf borderId="23" fillId="15" fontId="5" numFmtId="0" xfId="0" applyAlignment="1" applyBorder="1" applyFill="1" applyFont="1">
      <alignment horizontal="right" shrinkToFit="0" wrapText="1"/>
    </xf>
    <xf borderId="24" fillId="15" fontId="5" numFmtId="165" xfId="0" applyBorder="1" applyFont="1" applyNumberFormat="1"/>
    <xf borderId="24" fillId="15" fontId="5" numFmtId="165" xfId="0" applyAlignment="1" applyBorder="1" applyFont="1" applyNumberFormat="1">
      <alignment readingOrder="0"/>
    </xf>
    <xf borderId="25" fillId="0" fontId="2" numFmtId="165" xfId="0" applyAlignment="1" applyBorder="1" applyFont="1" applyNumberFormat="1">
      <alignment horizontal="center" vertical="center"/>
    </xf>
    <xf borderId="26" fillId="0" fontId="3" numFmtId="0" xfId="0" applyBorder="1" applyFont="1"/>
    <xf borderId="27" fillId="0" fontId="5" numFmtId="0" xfId="0" applyAlignment="1" applyBorder="1" applyFont="1">
      <alignment horizontal="right" shrinkToFit="0" wrapText="1"/>
    </xf>
    <xf borderId="3" fillId="0" fontId="5" numFmtId="165" xfId="0" applyAlignment="1" applyBorder="1" applyFont="1" applyNumberFormat="1">
      <alignment readingOrder="0"/>
    </xf>
    <xf borderId="27" fillId="0" fontId="5" numFmtId="0" xfId="0" applyAlignment="1" applyBorder="1" applyFont="1">
      <alignment horizontal="right"/>
    </xf>
    <xf borderId="28" fillId="0" fontId="5" numFmtId="0" xfId="0" applyAlignment="1" applyBorder="1" applyFont="1">
      <alignment horizontal="right"/>
    </xf>
    <xf borderId="8" fillId="0" fontId="5" numFmtId="165" xfId="0" applyBorder="1" applyFont="1" applyNumberFormat="1"/>
    <xf borderId="8" fillId="0" fontId="5" numFmtId="165" xfId="0" applyAlignment="1" applyBorder="1" applyFont="1" applyNumberFormat="1">
      <alignment readingOrder="0"/>
    </xf>
    <xf borderId="27" fillId="0" fontId="5" numFmtId="0" xfId="0" applyAlignment="1" applyBorder="1" applyFont="1">
      <alignment horizontal="right" shrinkToFit="0" vertical="center" wrapText="1"/>
    </xf>
    <xf borderId="29" fillId="0" fontId="3" numFmtId="0" xfId="0" applyBorder="1" applyFont="1"/>
    <xf borderId="24" fillId="0" fontId="5" numFmtId="165" xfId="0" applyBorder="1" applyFont="1" applyNumberFormat="1"/>
    <xf borderId="30" fillId="0" fontId="2" numFmtId="165" xfId="0" applyAlignment="1" applyBorder="1" applyFont="1" applyNumberFormat="1">
      <alignment horizontal="center" vertical="center"/>
    </xf>
    <xf borderId="31" fillId="0" fontId="2" numFmtId="165" xfId="0" applyAlignment="1" applyBorder="1" applyFont="1" applyNumberFormat="1">
      <alignment horizontal="center" vertical="center"/>
    </xf>
    <xf borderId="23" fillId="0" fontId="5" numFmtId="0" xfId="0" applyAlignment="1" applyBorder="1" applyFont="1">
      <alignment horizontal="right" shrinkToFit="0" wrapText="1"/>
    </xf>
    <xf borderId="2" fillId="0" fontId="2" numFmtId="165" xfId="0" applyAlignment="1" applyBorder="1" applyFont="1" applyNumberFormat="1">
      <alignment horizontal="center" vertical="center"/>
    </xf>
    <xf borderId="32" fillId="0" fontId="3" numFmtId="0" xfId="0" applyBorder="1" applyFont="1"/>
    <xf borderId="28" fillId="0" fontId="5" numFmtId="0" xfId="0" applyAlignment="1" applyBorder="1" applyFont="1">
      <alignment horizontal="right" shrinkToFit="0" wrapText="1"/>
    </xf>
    <xf borderId="33" fillId="0" fontId="3" numFmtId="0" xfId="0" applyBorder="1" applyFont="1"/>
    <xf borderId="34" fillId="14" fontId="2" numFmtId="0" xfId="0" applyAlignment="1" applyBorder="1" applyFont="1">
      <alignment shrinkToFit="0" wrapText="1"/>
    </xf>
    <xf borderId="35" fillId="4" fontId="4" numFmtId="165" xfId="0" applyAlignment="1" applyBorder="1" applyFont="1" applyNumberFormat="1">
      <alignment vertical="center"/>
    </xf>
    <xf borderId="36" fillId="4" fontId="4" numFmtId="165" xfId="0" applyAlignment="1" applyBorder="1" applyFont="1" applyNumberFormat="1">
      <alignment vertical="center"/>
    </xf>
    <xf borderId="1" fillId="16" fontId="14" numFmtId="0" xfId="0" applyBorder="1" applyFill="1" applyFont="1"/>
    <xf borderId="0" fillId="0" fontId="5" numFmtId="168" xfId="0" applyFont="1" applyNumberFormat="1"/>
    <xf borderId="15" fillId="17" fontId="15" numFmtId="0" xfId="0" applyAlignment="1" applyBorder="1" applyFill="1" applyFont="1">
      <alignment horizontal="center" shrinkToFit="0" vertical="bottom" wrapText="1"/>
    </xf>
    <xf borderId="8" fillId="18" fontId="4" numFmtId="165" xfId="0" applyAlignment="1" applyBorder="1" applyFill="1" applyFont="1" applyNumberFormat="1">
      <alignment horizontal="right"/>
    </xf>
    <xf borderId="37" fillId="17" fontId="15" numFmtId="165" xfId="0" applyAlignment="1" applyBorder="1" applyFont="1" applyNumberFormat="1">
      <alignment horizontal="center" shrinkToFit="0" vertical="bottom" wrapText="1"/>
    </xf>
    <xf borderId="38" fillId="18" fontId="4" numFmtId="165" xfId="0" applyAlignment="1" applyBorder="1" applyFont="1" applyNumberFormat="1">
      <alignment horizontal="right"/>
    </xf>
    <xf borderId="0" fillId="0" fontId="5" numFmtId="0" xfId="0" applyAlignment="1" applyFont="1">
      <alignment shrinkToFit="0" wrapText="1"/>
    </xf>
    <xf borderId="3" fillId="0" fontId="6" numFmtId="0" xfId="0" applyBorder="1" applyFont="1"/>
    <xf borderId="5" fillId="0" fontId="5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6.71"/>
    <col customWidth="1" min="3" max="3" width="10.57"/>
    <col customWidth="1" min="4" max="4" width="17.0"/>
    <col customWidth="1" min="5" max="5" width="10.86"/>
    <col customWidth="1" min="6" max="6" width="13.86"/>
    <col customWidth="1" min="7" max="7" width="1.71"/>
    <col customWidth="1" min="8" max="8" width="6.57"/>
    <col customWidth="1" min="9" max="9" width="8.71"/>
    <col customWidth="1" min="10" max="10" width="15.71"/>
    <col customWidth="1" min="11" max="11" width="8.43"/>
    <col customWidth="1" min="12" max="12" width="9.43"/>
    <col customWidth="1" min="13" max="13" width="11.0"/>
    <col customWidth="1" min="14" max="21" width="8.71"/>
  </cols>
  <sheetData>
    <row r="1">
      <c r="B1" s="1" t="s">
        <v>0</v>
      </c>
      <c r="C1" s="2">
        <v>45930.0</v>
      </c>
      <c r="D1" s="3"/>
      <c r="E1" s="4"/>
      <c r="F1" s="4"/>
      <c r="G1" s="5"/>
      <c r="H1" s="3"/>
      <c r="I1" s="6"/>
      <c r="J1" s="6"/>
    </row>
    <row r="2" ht="15.0" customHeight="1">
      <c r="B2" s="7" t="s">
        <v>1</v>
      </c>
      <c r="C2" s="7" t="s">
        <v>2</v>
      </c>
      <c r="D2" s="7" t="s">
        <v>3</v>
      </c>
      <c r="E2" s="8" t="s">
        <v>4</v>
      </c>
      <c r="F2" s="8" t="s">
        <v>5</v>
      </c>
      <c r="G2" s="9"/>
      <c r="H2" s="10" t="s">
        <v>1</v>
      </c>
      <c r="I2" s="10" t="s">
        <v>2</v>
      </c>
      <c r="J2" s="7" t="s">
        <v>3</v>
      </c>
      <c r="K2" s="7" t="s">
        <v>4</v>
      </c>
      <c r="L2" s="8" t="s">
        <v>5</v>
      </c>
    </row>
    <row r="3">
      <c r="A3" s="11" t="s">
        <v>6</v>
      </c>
      <c r="B3" s="12" t="s">
        <v>7</v>
      </c>
      <c r="C3" s="13" t="s">
        <v>8</v>
      </c>
      <c r="D3" s="14" t="s">
        <v>9</v>
      </c>
      <c r="E3" s="14">
        <v>3500.0</v>
      </c>
      <c r="F3" s="15">
        <f>-21000+3500*2</f>
        <v>-14000</v>
      </c>
      <c r="G3" s="9"/>
      <c r="H3" s="12" t="s">
        <v>10</v>
      </c>
      <c r="I3" s="13" t="s">
        <v>11</v>
      </c>
      <c r="J3" s="14" t="s">
        <v>6</v>
      </c>
      <c r="K3" s="16">
        <v>3500.0</v>
      </c>
      <c r="L3" s="14"/>
      <c r="P3" s="11" t="s">
        <v>12</v>
      </c>
    </row>
    <row r="4">
      <c r="B4" s="12" t="s">
        <v>7</v>
      </c>
      <c r="C4" s="13" t="s">
        <v>13</v>
      </c>
      <c r="D4" s="14" t="s">
        <v>14</v>
      </c>
      <c r="E4" s="14">
        <v>3500.0</v>
      </c>
      <c r="F4" s="14"/>
      <c r="G4" s="9"/>
      <c r="H4" s="12" t="s">
        <v>10</v>
      </c>
      <c r="I4" s="13" t="s">
        <v>15</v>
      </c>
      <c r="J4" s="14" t="s">
        <v>16</v>
      </c>
      <c r="K4" s="16">
        <v>3500.0</v>
      </c>
      <c r="L4" s="14"/>
      <c r="P4" s="17">
        <f>sum(K3:K14,K16,K18:K20,K17,K15)-P18</f>
        <v>52500</v>
      </c>
    </row>
    <row r="5">
      <c r="B5" s="12" t="s">
        <v>7</v>
      </c>
      <c r="C5" s="13" t="s">
        <v>17</v>
      </c>
      <c r="D5" s="14" t="s">
        <v>18</v>
      </c>
      <c r="E5" s="14">
        <v>3500.0</v>
      </c>
      <c r="F5" s="14"/>
      <c r="G5" s="9"/>
      <c r="H5" s="12" t="s">
        <v>10</v>
      </c>
      <c r="I5" s="13" t="s">
        <v>19</v>
      </c>
      <c r="J5" s="14" t="s">
        <v>20</v>
      </c>
      <c r="K5" s="16">
        <v>7000.0</v>
      </c>
      <c r="L5" s="14"/>
      <c r="N5" s="18"/>
      <c r="P5" s="11" t="s">
        <v>21</v>
      </c>
    </row>
    <row r="6">
      <c r="B6" s="12" t="s">
        <v>7</v>
      </c>
      <c r="C6" s="12">
        <v>102.0</v>
      </c>
      <c r="D6" s="14" t="s">
        <v>22</v>
      </c>
      <c r="E6" s="14">
        <v>3500.0</v>
      </c>
      <c r="F6" s="14"/>
      <c r="G6" s="9"/>
      <c r="H6" s="12" t="s">
        <v>10</v>
      </c>
      <c r="I6" s="12">
        <v>101.0</v>
      </c>
      <c r="J6" s="14" t="s">
        <v>23</v>
      </c>
      <c r="K6" s="16">
        <v>3500.0</v>
      </c>
      <c r="L6" s="14"/>
      <c r="N6" s="19"/>
      <c r="P6" s="11">
        <f>O32</f>
        <v>28000</v>
      </c>
    </row>
    <row r="7">
      <c r="B7" s="12" t="s">
        <v>7</v>
      </c>
      <c r="C7" s="12">
        <v>104.0</v>
      </c>
      <c r="D7" s="14" t="s">
        <v>24</v>
      </c>
      <c r="E7" s="14">
        <v>3500.0</v>
      </c>
      <c r="F7" s="14"/>
      <c r="G7" s="9"/>
      <c r="H7" s="12" t="s">
        <v>10</v>
      </c>
      <c r="I7" s="12">
        <v>103.0</v>
      </c>
      <c r="J7" s="14" t="s">
        <v>25</v>
      </c>
      <c r="K7" s="16">
        <v>3500.0</v>
      </c>
      <c r="L7" s="14"/>
      <c r="P7" s="11" t="s">
        <v>26</v>
      </c>
    </row>
    <row r="8">
      <c r="A8" s="20"/>
      <c r="B8" s="12" t="s">
        <v>7</v>
      </c>
      <c r="C8" s="12">
        <v>106.0</v>
      </c>
      <c r="D8" s="14" t="s">
        <v>27</v>
      </c>
      <c r="E8" s="14">
        <v>3500.0</v>
      </c>
      <c r="F8" s="21">
        <v>19000.0</v>
      </c>
      <c r="G8" s="9"/>
      <c r="H8" s="12" t="s">
        <v>10</v>
      </c>
      <c r="I8" s="12">
        <v>105.0</v>
      </c>
      <c r="J8" s="14" t="s">
        <v>28</v>
      </c>
      <c r="K8" s="16">
        <v>3500.0</v>
      </c>
      <c r="L8" s="14"/>
      <c r="N8" s="20"/>
      <c r="O8" s="20"/>
      <c r="P8" s="11">
        <f>O34</f>
        <v>7000</v>
      </c>
    </row>
    <row r="9">
      <c r="B9" s="12" t="s">
        <v>7</v>
      </c>
      <c r="C9" s="12">
        <v>201.0</v>
      </c>
      <c r="D9" s="14" t="s">
        <v>29</v>
      </c>
      <c r="E9" s="14">
        <v>3500.0</v>
      </c>
      <c r="F9" s="14"/>
      <c r="G9" s="9"/>
      <c r="H9" s="12" t="s">
        <v>10</v>
      </c>
      <c r="I9" s="12">
        <v>202.0</v>
      </c>
      <c r="J9" s="14" t="s">
        <v>30</v>
      </c>
      <c r="K9" s="16">
        <v>3500.0</v>
      </c>
      <c r="L9" s="14"/>
      <c r="P9" s="11" t="s">
        <v>31</v>
      </c>
    </row>
    <row r="10">
      <c r="B10" s="12" t="s">
        <v>7</v>
      </c>
      <c r="C10" s="12">
        <v>203.0</v>
      </c>
      <c r="D10" s="14" t="s">
        <v>32</v>
      </c>
      <c r="E10" s="14">
        <v>3500.0</v>
      </c>
      <c r="F10" s="14"/>
      <c r="G10" s="9"/>
      <c r="H10" s="12" t="s">
        <v>10</v>
      </c>
      <c r="I10" s="12">
        <v>203.0</v>
      </c>
      <c r="J10" s="14" t="s">
        <v>33</v>
      </c>
      <c r="K10" s="16">
        <v>3500.0</v>
      </c>
      <c r="L10" s="14"/>
      <c r="P10" s="11">
        <f>sum(E33,K31,E34,E26,K24,K32,E36,E30)</f>
        <v>24500</v>
      </c>
      <c r="S10" s="20"/>
      <c r="T10" s="20"/>
      <c r="U10" s="20"/>
    </row>
    <row r="11">
      <c r="A11" s="11"/>
      <c r="B11" s="12" t="s">
        <v>7</v>
      </c>
      <c r="C11" s="12">
        <v>205.0</v>
      </c>
      <c r="D11" s="14" t="s">
        <v>34</v>
      </c>
      <c r="E11" s="14">
        <v>3500.0</v>
      </c>
      <c r="F11" s="14"/>
      <c r="G11" s="9"/>
      <c r="H11" s="12" t="s">
        <v>10</v>
      </c>
      <c r="I11" s="12">
        <v>204.0</v>
      </c>
      <c r="J11" s="14" t="s">
        <v>35</v>
      </c>
      <c r="K11" s="16">
        <v>3500.0</v>
      </c>
      <c r="L11" s="14"/>
      <c r="P11" s="11" t="s">
        <v>36</v>
      </c>
    </row>
    <row r="12">
      <c r="B12" s="22"/>
      <c r="C12" s="22"/>
      <c r="D12" s="23"/>
      <c r="E12" s="23"/>
      <c r="F12" s="23"/>
      <c r="G12" s="9"/>
      <c r="H12" s="12" t="s">
        <v>10</v>
      </c>
      <c r="I12" s="12">
        <v>206.0</v>
      </c>
      <c r="J12" s="14" t="s">
        <v>37</v>
      </c>
      <c r="K12" s="16">
        <v>3500.0</v>
      </c>
      <c r="L12" s="24">
        <v>5000.0</v>
      </c>
      <c r="P12" s="11">
        <f>O26</f>
        <v>28000</v>
      </c>
    </row>
    <row r="13">
      <c r="B13" s="12" t="s">
        <v>7</v>
      </c>
      <c r="C13" s="12">
        <v>302.0</v>
      </c>
      <c r="D13" s="14" t="s">
        <v>38</v>
      </c>
      <c r="E13" s="14">
        <v>3500.0</v>
      </c>
      <c r="F13" s="14"/>
      <c r="G13" s="9"/>
      <c r="H13" s="12" t="s">
        <v>10</v>
      </c>
      <c r="I13" s="12">
        <v>301.0</v>
      </c>
      <c r="J13" s="14" t="s">
        <v>39</v>
      </c>
      <c r="K13" s="16">
        <v>3500.0</v>
      </c>
      <c r="L13" s="14"/>
      <c r="P13" s="11" t="s">
        <v>40</v>
      </c>
      <c r="R13" s="20"/>
    </row>
    <row r="14">
      <c r="B14" s="12" t="s">
        <v>7</v>
      </c>
      <c r="C14" s="12">
        <v>304.0</v>
      </c>
      <c r="D14" s="14" t="s">
        <v>41</v>
      </c>
      <c r="E14" s="14">
        <v>3500.0</v>
      </c>
      <c r="F14" s="25"/>
      <c r="G14" s="9"/>
      <c r="H14" s="12" t="s">
        <v>10</v>
      </c>
      <c r="I14" s="12">
        <v>303.0</v>
      </c>
      <c r="J14" s="14" t="s">
        <v>42</v>
      </c>
      <c r="K14" s="16">
        <v>3500.0</v>
      </c>
      <c r="L14" s="14"/>
      <c r="N14" s="11"/>
      <c r="P14" s="20">
        <f>sum(P12,P10,P6,P4,P8)</f>
        <v>140000</v>
      </c>
      <c r="Q14" s="20"/>
      <c r="V14" s="11"/>
    </row>
    <row r="15">
      <c r="B15" s="12" t="s">
        <v>7</v>
      </c>
      <c r="C15" s="12">
        <v>306.0</v>
      </c>
      <c r="D15" s="14" t="s">
        <v>43</v>
      </c>
      <c r="E15" s="14">
        <v>3500.0</v>
      </c>
      <c r="F15" s="25"/>
      <c r="G15" s="9"/>
      <c r="H15" s="22"/>
      <c r="I15" s="22"/>
      <c r="J15" s="23"/>
      <c r="K15" s="23"/>
      <c r="L15" s="23"/>
      <c r="P15" s="11" t="s">
        <v>44</v>
      </c>
    </row>
    <row r="16">
      <c r="B16" s="12" t="s">
        <v>7</v>
      </c>
      <c r="C16" s="12">
        <v>401.0</v>
      </c>
      <c r="D16" s="14" t="s">
        <v>45</v>
      </c>
      <c r="E16" s="14">
        <v>3500.0</v>
      </c>
      <c r="F16" s="14"/>
      <c r="G16" s="9"/>
      <c r="H16" s="12" t="s">
        <v>10</v>
      </c>
      <c r="I16" s="12">
        <v>305.0</v>
      </c>
      <c r="J16" s="14" t="s">
        <v>46</v>
      </c>
      <c r="K16" s="16">
        <v>3500.0</v>
      </c>
      <c r="L16" s="14"/>
      <c r="P16" s="17">
        <f>E21-E17-E3</f>
        <v>52500</v>
      </c>
    </row>
    <row r="17">
      <c r="A17" s="11" t="s">
        <v>47</v>
      </c>
      <c r="B17" s="12" t="s">
        <v>7</v>
      </c>
      <c r="C17" s="12">
        <v>402.0</v>
      </c>
      <c r="D17" s="14" t="s">
        <v>48</v>
      </c>
      <c r="E17" s="14">
        <v>3500.0</v>
      </c>
      <c r="F17" s="14"/>
      <c r="G17" s="9"/>
      <c r="H17" s="22"/>
      <c r="I17" s="22"/>
      <c r="J17" s="23"/>
      <c r="K17" s="23"/>
      <c r="L17" s="23"/>
      <c r="P17" s="11" t="s">
        <v>49</v>
      </c>
    </row>
    <row r="18">
      <c r="B18" s="12" t="s">
        <v>7</v>
      </c>
      <c r="C18" s="12">
        <v>403.0</v>
      </c>
      <c r="D18" s="14" t="s">
        <v>50</v>
      </c>
      <c r="E18" s="14">
        <v>3500.0</v>
      </c>
      <c r="F18" s="14"/>
      <c r="G18" s="9"/>
      <c r="H18" s="12" t="s">
        <v>10</v>
      </c>
      <c r="I18" s="12">
        <v>402.0</v>
      </c>
      <c r="J18" s="14" t="s">
        <v>51</v>
      </c>
      <c r="K18" s="16">
        <v>3500.0</v>
      </c>
      <c r="L18" s="14"/>
      <c r="P18" s="17">
        <f>sum(K7,K8)</f>
        <v>7000</v>
      </c>
    </row>
    <row r="19">
      <c r="B19" s="12" t="s">
        <v>7</v>
      </c>
      <c r="C19" s="12">
        <v>405.0</v>
      </c>
      <c r="D19" s="14" t="s">
        <v>52</v>
      </c>
      <c r="E19" s="14">
        <v>3500.0</v>
      </c>
      <c r="F19" s="14"/>
      <c r="G19" s="9"/>
      <c r="H19" s="12" t="s">
        <v>10</v>
      </c>
      <c r="I19" s="12">
        <v>404.0</v>
      </c>
      <c r="J19" s="14" t="s">
        <v>53</v>
      </c>
      <c r="K19" s="16">
        <v>3500.0</v>
      </c>
      <c r="L19" s="14"/>
    </row>
    <row r="20">
      <c r="B20" s="26" t="s">
        <v>7</v>
      </c>
      <c r="C20" s="26">
        <v>406.0</v>
      </c>
      <c r="D20" s="27" t="s">
        <v>54</v>
      </c>
      <c r="E20" s="14">
        <v>3500.0</v>
      </c>
      <c r="F20" s="27"/>
      <c r="G20" s="9"/>
      <c r="H20" s="12" t="s">
        <v>10</v>
      </c>
      <c r="I20" s="12">
        <v>406.0</v>
      </c>
      <c r="J20" s="14" t="s">
        <v>55</v>
      </c>
      <c r="K20" s="16">
        <v>3500.0</v>
      </c>
      <c r="L20" s="27"/>
      <c r="O20" s="11"/>
      <c r="S20" s="11"/>
    </row>
    <row r="21" ht="15.75" customHeight="1">
      <c r="B21" s="14"/>
      <c r="C21" s="14"/>
      <c r="D21" s="28" t="s">
        <v>56</v>
      </c>
      <c r="E21" s="29">
        <f t="shared" ref="E21:F21" si="1">SUM(E3:E20)</f>
        <v>59500</v>
      </c>
      <c r="F21" s="29">
        <f t="shared" si="1"/>
        <v>5000</v>
      </c>
      <c r="G21" s="30"/>
      <c r="H21" s="14"/>
      <c r="I21" s="14"/>
      <c r="J21" s="29" t="s">
        <v>56</v>
      </c>
      <c r="K21" s="29">
        <f t="shared" ref="K21:L21" si="2">SUM(K3:K20)</f>
        <v>59500</v>
      </c>
      <c r="L21" s="29">
        <f t="shared" si="2"/>
        <v>5000</v>
      </c>
      <c r="O21" s="11"/>
      <c r="S21" s="11"/>
    </row>
    <row r="22" ht="15.75" customHeight="1">
      <c r="G22" s="9"/>
      <c r="H22" s="31"/>
      <c r="R22" s="11"/>
      <c r="S22" s="11"/>
    </row>
    <row r="23" ht="15.75" customHeight="1">
      <c r="B23" s="7" t="s">
        <v>1</v>
      </c>
      <c r="C23" s="7" t="s">
        <v>2</v>
      </c>
      <c r="D23" s="7" t="s">
        <v>57</v>
      </c>
      <c r="E23" s="8" t="s">
        <v>4</v>
      </c>
      <c r="F23" s="8" t="s">
        <v>5</v>
      </c>
      <c r="G23" s="9"/>
      <c r="H23" s="10" t="s">
        <v>1</v>
      </c>
      <c r="I23" s="10" t="s">
        <v>2</v>
      </c>
      <c r="J23" s="7" t="s">
        <v>57</v>
      </c>
      <c r="K23" s="7" t="s">
        <v>4</v>
      </c>
      <c r="L23" s="8" t="s">
        <v>5</v>
      </c>
    </row>
    <row r="24" ht="15.75" customHeight="1">
      <c r="B24" s="12" t="s">
        <v>7</v>
      </c>
      <c r="C24" s="32" t="s">
        <v>11</v>
      </c>
      <c r="D24" s="14" t="s">
        <v>58</v>
      </c>
      <c r="E24" s="14">
        <v>3500.0</v>
      </c>
      <c r="F24" s="14"/>
      <c r="G24" s="9"/>
      <c r="H24" s="12" t="s">
        <v>10</v>
      </c>
      <c r="I24" s="32" t="s">
        <v>8</v>
      </c>
      <c r="J24" s="14" t="s">
        <v>59</v>
      </c>
      <c r="K24" s="33">
        <v>3500.0</v>
      </c>
      <c r="L24" s="21">
        <f>22*1000</f>
        <v>22000</v>
      </c>
      <c r="M24" s="11" t="s">
        <v>60</v>
      </c>
    </row>
    <row r="25" ht="15.75" customHeight="1">
      <c r="B25" s="12" t="s">
        <v>7</v>
      </c>
      <c r="C25" s="32" t="s">
        <v>15</v>
      </c>
      <c r="D25" s="14" t="s">
        <v>61</v>
      </c>
      <c r="E25" s="14">
        <v>3500.0</v>
      </c>
      <c r="F25" s="21">
        <f>13*1000</f>
        <v>13000</v>
      </c>
      <c r="G25" s="9"/>
      <c r="H25" s="12" t="s">
        <v>10</v>
      </c>
      <c r="I25" s="32" t="s">
        <v>13</v>
      </c>
      <c r="J25" s="14" t="s">
        <v>58</v>
      </c>
      <c r="K25" s="14">
        <v>3500.0</v>
      </c>
      <c r="L25" s="14"/>
      <c r="O25" s="11" t="s">
        <v>62</v>
      </c>
    </row>
    <row r="26" ht="15.75" customHeight="1">
      <c r="B26" s="12" t="s">
        <v>7</v>
      </c>
      <c r="C26" s="32" t="s">
        <v>19</v>
      </c>
      <c r="D26" s="14" t="s">
        <v>59</v>
      </c>
      <c r="E26" s="33">
        <v>3500.0</v>
      </c>
      <c r="F26" s="21">
        <f>22*1000</f>
        <v>22000</v>
      </c>
      <c r="G26" s="9"/>
      <c r="H26" s="12" t="s">
        <v>10</v>
      </c>
      <c r="I26" s="32" t="s">
        <v>17</v>
      </c>
      <c r="J26" s="14" t="s">
        <v>63</v>
      </c>
      <c r="K26" s="14">
        <v>3500.0</v>
      </c>
      <c r="M26" s="11" t="s">
        <v>60</v>
      </c>
      <c r="O26" s="17">
        <f>sum(E24,E28,E29,E32,K25,K30,K33,K37)</f>
        <v>28000</v>
      </c>
    </row>
    <row r="27" ht="15.75" customHeight="1">
      <c r="B27" s="12" t="s">
        <v>7</v>
      </c>
      <c r="C27" s="12">
        <v>101.0</v>
      </c>
      <c r="D27" s="14" t="s">
        <v>63</v>
      </c>
      <c r="E27" s="14">
        <v>3500.0</v>
      </c>
      <c r="F27" s="14"/>
      <c r="G27" s="9"/>
      <c r="H27" s="12" t="s">
        <v>10</v>
      </c>
      <c r="I27" s="12">
        <v>102.0</v>
      </c>
      <c r="J27" s="14" t="s">
        <v>63</v>
      </c>
      <c r="K27" s="14">
        <v>3500.0</v>
      </c>
      <c r="L27" s="14"/>
      <c r="O27" s="11" t="s">
        <v>64</v>
      </c>
    </row>
    <row r="28" ht="15.75" customHeight="1">
      <c r="A28" s="11" t="s">
        <v>60</v>
      </c>
      <c r="B28" s="12" t="s">
        <v>7</v>
      </c>
      <c r="C28" s="12">
        <v>103.0</v>
      </c>
      <c r="D28" s="14" t="s">
        <v>58</v>
      </c>
      <c r="E28" s="14">
        <v>3500.0</v>
      </c>
      <c r="F28" s="14"/>
      <c r="G28" s="9"/>
      <c r="H28" s="12" t="s">
        <v>10</v>
      </c>
      <c r="I28" s="12">
        <v>104.0</v>
      </c>
      <c r="J28" s="14" t="s">
        <v>65</v>
      </c>
      <c r="K28" s="34"/>
      <c r="L28" s="21">
        <f>6800+2800+2300+1000</f>
        <v>12900</v>
      </c>
      <c r="M28" s="11" t="s">
        <v>60</v>
      </c>
      <c r="O28" s="17">
        <f>sum(E30,E33:E34,E36,K24,E26,K31:K32)</f>
        <v>24500</v>
      </c>
    </row>
    <row r="29" ht="15.75" customHeight="1">
      <c r="B29" s="12" t="s">
        <v>7</v>
      </c>
      <c r="C29" s="12">
        <v>105.0</v>
      </c>
      <c r="D29" s="14" t="s">
        <v>58</v>
      </c>
      <c r="E29" s="14">
        <v>3500.0</v>
      </c>
      <c r="F29" s="25"/>
      <c r="G29" s="9"/>
      <c r="H29" s="12" t="s">
        <v>10</v>
      </c>
      <c r="I29" s="12">
        <v>106.0</v>
      </c>
      <c r="J29" s="14" t="s">
        <v>66</v>
      </c>
      <c r="K29" s="14">
        <v>3500.0</v>
      </c>
      <c r="L29" s="21">
        <f>13*1000</f>
        <v>13000</v>
      </c>
      <c r="O29" s="11" t="s">
        <v>67</v>
      </c>
    </row>
    <row r="30" ht="15.75" customHeight="1">
      <c r="A30" s="11" t="s">
        <v>60</v>
      </c>
      <c r="B30" s="12" t="s">
        <v>7</v>
      </c>
      <c r="C30" s="12">
        <v>202.0</v>
      </c>
      <c r="D30" s="14" t="s">
        <v>59</v>
      </c>
      <c r="E30" s="33">
        <v>3500.0</v>
      </c>
      <c r="F30" s="21">
        <f>22*1000</f>
        <v>22000</v>
      </c>
      <c r="G30" s="9"/>
      <c r="H30" s="12" t="s">
        <v>10</v>
      </c>
      <c r="I30" s="12">
        <v>201.0</v>
      </c>
      <c r="J30" s="14" t="s">
        <v>58</v>
      </c>
      <c r="K30" s="14">
        <v>3500.0</v>
      </c>
      <c r="L30" s="14"/>
      <c r="O30" s="11">
        <f>sum(E27,E31,E35,K26,K27,K34:K36,E25)</f>
        <v>31500</v>
      </c>
    </row>
    <row r="31" ht="15.75" customHeight="1">
      <c r="B31" s="12" t="s">
        <v>7</v>
      </c>
      <c r="C31" s="12">
        <v>204.0</v>
      </c>
      <c r="D31" s="14" t="s">
        <v>63</v>
      </c>
      <c r="E31" s="14">
        <v>3500.0</v>
      </c>
      <c r="F31" s="25"/>
      <c r="G31" s="9"/>
      <c r="H31" s="12" t="s">
        <v>10</v>
      </c>
      <c r="I31" s="12">
        <v>205.0</v>
      </c>
      <c r="J31" s="14" t="s">
        <v>59</v>
      </c>
      <c r="K31" s="14"/>
      <c r="L31" s="21">
        <f t="shared" ref="L31:L32" si="3">22*1000</f>
        <v>22000</v>
      </c>
      <c r="M31" s="11" t="s">
        <v>60</v>
      </c>
      <c r="O31" s="11" t="s">
        <v>68</v>
      </c>
    </row>
    <row r="32" ht="15.75" customHeight="1">
      <c r="B32" s="12" t="s">
        <v>7</v>
      </c>
      <c r="C32" s="12">
        <v>206.0</v>
      </c>
      <c r="D32" s="14" t="s">
        <v>58</v>
      </c>
      <c r="E32" s="14">
        <v>3500.0</v>
      </c>
      <c r="F32" s="25"/>
      <c r="G32" s="9"/>
      <c r="H32" s="12" t="s">
        <v>10</v>
      </c>
      <c r="I32" s="12">
        <v>302.0</v>
      </c>
      <c r="J32" s="14" t="s">
        <v>59</v>
      </c>
      <c r="K32" s="33">
        <v>3500.0</v>
      </c>
      <c r="L32" s="21">
        <f t="shared" si="3"/>
        <v>22000</v>
      </c>
      <c r="M32" s="11" t="s">
        <v>60</v>
      </c>
      <c r="O32" s="17">
        <f>O30-E25</f>
        <v>28000</v>
      </c>
      <c r="P32" s="11"/>
      <c r="Q32" s="11"/>
      <c r="T32" s="11"/>
    </row>
    <row r="33" ht="15.75" customHeight="1">
      <c r="A33" s="11" t="s">
        <v>60</v>
      </c>
      <c r="B33" s="12" t="s">
        <v>7</v>
      </c>
      <c r="C33" s="12">
        <v>301.0</v>
      </c>
      <c r="D33" s="14" t="s">
        <v>59</v>
      </c>
      <c r="E33" s="33">
        <v>3500.0</v>
      </c>
      <c r="F33" s="21">
        <v>3300.0</v>
      </c>
      <c r="G33" s="9"/>
      <c r="H33" s="12" t="s">
        <v>10</v>
      </c>
      <c r="I33" s="12">
        <v>304.0</v>
      </c>
      <c r="J33" s="14" t="s">
        <v>58</v>
      </c>
      <c r="K33" s="14">
        <v>3500.0</v>
      </c>
      <c r="L33" s="14"/>
      <c r="O33" s="11" t="s">
        <v>69</v>
      </c>
    </row>
    <row r="34" ht="15.75" customHeight="1">
      <c r="A34" s="11" t="s">
        <v>60</v>
      </c>
      <c r="B34" s="12" t="s">
        <v>7</v>
      </c>
      <c r="C34" s="12">
        <v>303.0</v>
      </c>
      <c r="D34" s="14" t="s">
        <v>59</v>
      </c>
      <c r="E34" s="33">
        <v>3500.0</v>
      </c>
      <c r="F34" s="21">
        <f>22*1000</f>
        <v>22000</v>
      </c>
      <c r="G34" s="9"/>
      <c r="H34" s="12" t="s">
        <v>10</v>
      </c>
      <c r="I34" s="12">
        <v>306.0</v>
      </c>
      <c r="J34" s="14" t="s">
        <v>63</v>
      </c>
      <c r="K34" s="14">
        <v>3500.0</v>
      </c>
      <c r="L34" s="14"/>
      <c r="O34" s="17">
        <f>E25+K28+K29</f>
        <v>7000</v>
      </c>
    </row>
    <row r="35" ht="15.75" customHeight="1">
      <c r="B35" s="12" t="s">
        <v>7</v>
      </c>
      <c r="C35" s="12">
        <v>305.0</v>
      </c>
      <c r="D35" s="14" t="s">
        <v>63</v>
      </c>
      <c r="E35" s="14">
        <v>3500.0</v>
      </c>
      <c r="F35" s="25"/>
      <c r="G35" s="9"/>
      <c r="H35" s="12" t="s">
        <v>10</v>
      </c>
      <c r="I35" s="12">
        <v>401.0</v>
      </c>
      <c r="J35" s="14" t="s">
        <v>63</v>
      </c>
      <c r="K35" s="14">
        <v>3500.0</v>
      </c>
      <c r="L35" s="14"/>
    </row>
    <row r="36" ht="15.75" customHeight="1">
      <c r="A36" s="11" t="s">
        <v>60</v>
      </c>
      <c r="B36" s="12" t="s">
        <v>7</v>
      </c>
      <c r="C36" s="12">
        <v>404.0</v>
      </c>
      <c r="D36" s="14" t="s">
        <v>59</v>
      </c>
      <c r="E36" s="33">
        <v>3500.0</v>
      </c>
      <c r="F36" s="21">
        <f>22*1000</f>
        <v>22000</v>
      </c>
      <c r="G36" s="9"/>
      <c r="H36" s="12" t="s">
        <v>10</v>
      </c>
      <c r="I36" s="12">
        <v>403.0</v>
      </c>
      <c r="J36" s="14" t="s">
        <v>63</v>
      </c>
      <c r="K36" s="14">
        <v>3500.0</v>
      </c>
      <c r="L36" s="14"/>
      <c r="O36" s="11" t="s">
        <v>70</v>
      </c>
    </row>
    <row r="37" ht="15.75" customHeight="1">
      <c r="B37" s="14"/>
      <c r="C37" s="14"/>
      <c r="D37" s="28"/>
      <c r="E37" s="29"/>
      <c r="F37" s="29"/>
      <c r="G37" s="35"/>
      <c r="H37" s="12" t="s">
        <v>10</v>
      </c>
      <c r="I37" s="12">
        <v>405.0</v>
      </c>
      <c r="J37" s="14" t="s">
        <v>58</v>
      </c>
      <c r="K37" s="14">
        <v>3500.0</v>
      </c>
      <c r="L37" s="29"/>
      <c r="O37" s="11">
        <f>F38+L38</f>
        <v>196200</v>
      </c>
    </row>
    <row r="38" ht="15.75" customHeight="1">
      <c r="B38" s="14"/>
      <c r="C38" s="14"/>
      <c r="D38" s="28" t="s">
        <v>56</v>
      </c>
      <c r="E38" s="29">
        <f t="shared" ref="E38:F38" si="4">SUM(E24:E37)</f>
        <v>45500</v>
      </c>
      <c r="F38" s="29">
        <f t="shared" si="4"/>
        <v>104300</v>
      </c>
      <c r="G38" s="30"/>
      <c r="H38" s="14"/>
      <c r="I38" s="14"/>
      <c r="J38" s="29" t="s">
        <v>56</v>
      </c>
      <c r="K38" s="29">
        <f t="shared" ref="K38:L38" si="5">SUM(K24:K37)</f>
        <v>42000</v>
      </c>
      <c r="L38" s="29">
        <f t="shared" si="5"/>
        <v>91900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H1:J1"/>
  </mergeCells>
  <conditionalFormatting sqref="D24:D36 J24:J37">
    <cfRule type="cellIs" dxfId="0" priority="1" operator="equal">
      <formula>"Dharnesh"</formula>
    </cfRule>
  </conditionalFormatting>
  <conditionalFormatting sqref="D24:D36 J24:J37">
    <cfRule type="cellIs" dxfId="1" priority="2" operator="equal">
      <formula>"Shiva Murthy"</formula>
    </cfRule>
  </conditionalFormatting>
  <conditionalFormatting sqref="D24:D36 J24:J37">
    <cfRule type="cellIs" dxfId="2" priority="3" operator="equal">
      <formula>"Padmaraju"</formula>
    </cfRule>
  </conditionalFormatting>
  <printOptions/>
  <pageMargins bottom="0.7418688815443435" footer="0.0" header="0.0" left="0.5562378097233259" right="0.40453658888969163" top="0.7585061041681718"/>
  <pageSetup fitToWidth="0" paperSize="8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40.29"/>
    <col customWidth="1" min="3" max="3" width="13.14"/>
    <col customWidth="1" min="4" max="4" width="11.57"/>
    <col customWidth="1" min="5" max="5" width="13.86"/>
    <col customWidth="1" min="6" max="6" width="12.57"/>
    <col customWidth="1" min="7" max="7" width="16.29"/>
    <col customWidth="1" min="8" max="8" width="30.43"/>
    <col customWidth="1" min="9" max="9" width="15.86"/>
    <col customWidth="1" min="10" max="10" width="38.29"/>
    <col customWidth="1" min="11" max="11" width="11.86"/>
    <col customWidth="1" min="12" max="12" width="31.29"/>
    <col customWidth="1" min="13" max="13" width="6.57"/>
    <col customWidth="1" min="14" max="14" width="28.71"/>
    <col customWidth="1" min="15" max="25" width="8.71"/>
  </cols>
  <sheetData>
    <row r="1">
      <c r="A1" s="36" t="s">
        <v>71</v>
      </c>
      <c r="B1" s="37"/>
      <c r="C1" s="37"/>
      <c r="D1" s="37"/>
      <c r="E1" s="37"/>
      <c r="F1" s="37"/>
      <c r="G1" s="37"/>
      <c r="H1" s="38"/>
      <c r="I1" s="39"/>
      <c r="J1" s="39"/>
      <c r="K1" s="20"/>
      <c r="L1" s="20"/>
      <c r="M1" s="20"/>
      <c r="N1" s="20"/>
      <c r="O1" s="20"/>
      <c r="P1" s="20"/>
      <c r="Q1" s="20"/>
    </row>
    <row r="2" ht="20.25" customHeight="1">
      <c r="A2" s="40" t="s">
        <v>72</v>
      </c>
      <c r="B2" s="40" t="s">
        <v>73</v>
      </c>
      <c r="C2" s="40" t="s">
        <v>74</v>
      </c>
      <c r="D2" s="41" t="s">
        <v>75</v>
      </c>
      <c r="E2" s="41" t="s">
        <v>76</v>
      </c>
      <c r="F2" s="42" t="s">
        <v>77</v>
      </c>
      <c r="G2" s="43"/>
      <c r="H2" s="42" t="s">
        <v>78</v>
      </c>
      <c r="I2" s="39"/>
      <c r="J2" s="39"/>
      <c r="K2" s="20"/>
      <c r="L2" s="20"/>
      <c r="M2" s="20"/>
      <c r="N2" s="20"/>
    </row>
    <row r="3" ht="33.75" customHeight="1">
      <c r="A3" s="44"/>
      <c r="B3" s="44"/>
      <c r="C3" s="44"/>
      <c r="D3" s="41" t="s">
        <v>79</v>
      </c>
      <c r="E3" s="41" t="s">
        <v>79</v>
      </c>
      <c r="F3" s="44"/>
      <c r="G3" s="43"/>
      <c r="H3" s="44"/>
      <c r="I3" s="39"/>
      <c r="J3" s="39"/>
      <c r="K3" s="20"/>
      <c r="L3" s="20"/>
      <c r="M3" s="20"/>
    </row>
    <row r="4">
      <c r="A4" s="45">
        <v>45901.0</v>
      </c>
      <c r="B4" s="46" t="s">
        <v>80</v>
      </c>
      <c r="C4" s="47">
        <v>487658.0</v>
      </c>
      <c r="D4" s="48"/>
      <c r="E4" s="48"/>
      <c r="F4" s="49"/>
      <c r="G4" s="50"/>
      <c r="H4" s="50"/>
      <c r="I4" s="39"/>
      <c r="J4" s="39"/>
      <c r="K4" s="20"/>
      <c r="L4" s="20"/>
      <c r="M4" s="20"/>
    </row>
    <row r="5">
      <c r="A5" s="51" t="s">
        <v>81</v>
      </c>
      <c r="B5" s="52" t="s">
        <v>82</v>
      </c>
      <c r="C5" s="49"/>
      <c r="D5" s="49"/>
      <c r="E5" s="53">
        <v>16000.0</v>
      </c>
      <c r="F5" s="53"/>
      <c r="G5" s="54"/>
      <c r="H5" s="54"/>
      <c r="I5" s="39"/>
      <c r="J5" s="39"/>
      <c r="K5" s="39"/>
    </row>
    <row r="6">
      <c r="A6" s="55"/>
      <c r="B6" s="52" t="s">
        <v>83</v>
      </c>
      <c r="C6" s="49"/>
      <c r="D6" s="49"/>
      <c r="E6" s="53">
        <v>27000.0</v>
      </c>
      <c r="F6" s="53"/>
      <c r="G6" s="54"/>
      <c r="H6" s="54"/>
      <c r="I6" s="39"/>
      <c r="J6" s="39"/>
      <c r="K6" s="39"/>
    </row>
    <row r="7">
      <c r="A7" s="55"/>
      <c r="B7" s="52" t="s">
        <v>84</v>
      </c>
      <c r="C7" s="49"/>
      <c r="D7" s="49"/>
      <c r="E7" s="53">
        <v>7500.0</v>
      </c>
      <c r="F7" s="53"/>
      <c r="G7" s="54"/>
      <c r="H7" s="54"/>
      <c r="I7" s="39"/>
      <c r="J7" s="39"/>
      <c r="K7" s="39"/>
    </row>
    <row r="8">
      <c r="A8" s="55"/>
      <c r="B8" s="52" t="s">
        <v>85</v>
      </c>
      <c r="C8" s="49"/>
      <c r="D8" s="49"/>
      <c r="E8" s="56">
        <v>1000.0</v>
      </c>
      <c r="F8" s="53"/>
      <c r="G8" s="54"/>
      <c r="H8" s="54" t="s">
        <v>86</v>
      </c>
      <c r="I8" s="39"/>
      <c r="J8" s="39"/>
      <c r="K8" s="39"/>
    </row>
    <row r="9">
      <c r="A9" s="55"/>
      <c r="B9" s="52" t="s">
        <v>87</v>
      </c>
      <c r="C9" s="49"/>
      <c r="D9" s="49"/>
      <c r="E9" s="56">
        <v>88400.0</v>
      </c>
      <c r="F9" s="53"/>
      <c r="G9" s="54"/>
      <c r="H9" s="54"/>
      <c r="I9" s="39"/>
      <c r="J9" s="39"/>
      <c r="K9" s="39"/>
    </row>
    <row r="10">
      <c r="A10" s="55"/>
      <c r="B10" s="52" t="s">
        <v>88</v>
      </c>
      <c r="C10" s="49"/>
      <c r="D10" s="49"/>
      <c r="E10" s="57">
        <v>5513.0</v>
      </c>
      <c r="F10" s="53"/>
      <c r="G10" s="54"/>
      <c r="H10" s="54" t="s">
        <v>89</v>
      </c>
      <c r="I10" s="39"/>
      <c r="J10" s="39"/>
      <c r="K10" s="39"/>
    </row>
    <row r="11">
      <c r="A11" s="55"/>
      <c r="B11" s="52" t="s">
        <v>90</v>
      </c>
      <c r="C11" s="49"/>
      <c r="D11" s="49"/>
      <c r="E11" s="58">
        <v>7189.0</v>
      </c>
      <c r="F11" s="53"/>
      <c r="G11" s="54"/>
      <c r="H11" s="54" t="s">
        <v>89</v>
      </c>
      <c r="I11" s="39"/>
      <c r="J11" s="39"/>
      <c r="K11" s="39"/>
    </row>
    <row r="12">
      <c r="A12" s="55"/>
      <c r="B12" s="52" t="s">
        <v>91</v>
      </c>
      <c r="C12" s="49"/>
      <c r="D12" s="49"/>
      <c r="E12" s="59">
        <v>40104.0</v>
      </c>
      <c r="F12" s="53"/>
      <c r="G12" s="54"/>
      <c r="H12" s="54" t="s">
        <v>89</v>
      </c>
      <c r="I12" s="39"/>
      <c r="J12" s="39"/>
      <c r="K12" s="39"/>
    </row>
    <row r="13" ht="30.75" customHeight="1">
      <c r="A13" s="44"/>
      <c r="B13" s="52"/>
      <c r="C13" s="49"/>
      <c r="D13" s="49"/>
      <c r="E13" s="60"/>
      <c r="F13" s="53"/>
      <c r="G13" s="54"/>
      <c r="H13" s="54"/>
      <c r="I13" s="39"/>
      <c r="J13" s="39"/>
      <c r="K13" s="39"/>
    </row>
    <row r="14" ht="27.75" customHeight="1">
      <c r="A14" s="61" t="s">
        <v>92</v>
      </c>
      <c r="B14" s="52"/>
      <c r="C14" s="49"/>
      <c r="D14" s="49"/>
      <c r="E14" s="53"/>
      <c r="F14" s="53"/>
      <c r="G14" s="54"/>
      <c r="H14" s="54"/>
      <c r="I14" s="39"/>
      <c r="J14" s="39"/>
      <c r="K14" s="39"/>
    </row>
    <row r="15" ht="27.75" customHeight="1">
      <c r="A15" s="55"/>
      <c r="B15" s="52" t="s">
        <v>93</v>
      </c>
      <c r="C15" s="49"/>
      <c r="D15" s="49"/>
      <c r="E15" s="53"/>
      <c r="F15" s="53"/>
      <c r="G15" s="54"/>
      <c r="H15" s="54"/>
      <c r="I15" s="39"/>
      <c r="J15" s="39"/>
      <c r="K15" s="39"/>
    </row>
    <row r="16">
      <c r="A16" s="55"/>
      <c r="B16" s="52" t="s">
        <v>94</v>
      </c>
      <c r="C16" s="49"/>
      <c r="D16" s="49"/>
      <c r="E16" s="53"/>
      <c r="F16" s="53"/>
      <c r="H16" s="54"/>
      <c r="I16" s="39"/>
      <c r="J16" s="39"/>
      <c r="K16" s="39"/>
    </row>
    <row r="17">
      <c r="A17" s="55"/>
      <c r="B17" s="52" t="s">
        <v>95</v>
      </c>
      <c r="C17" s="49"/>
      <c r="D17" s="49"/>
      <c r="E17" s="53"/>
      <c r="F17" s="53"/>
      <c r="G17" s="54"/>
      <c r="H17" s="54"/>
      <c r="I17" s="39"/>
      <c r="J17" s="39"/>
      <c r="K17" s="39"/>
    </row>
    <row r="18">
      <c r="A18" s="55"/>
      <c r="B18" s="62" t="s">
        <v>96</v>
      </c>
      <c r="C18" s="49"/>
      <c r="D18" s="49"/>
      <c r="E18" s="56">
        <v>500.0</v>
      </c>
      <c r="F18" s="53"/>
      <c r="G18" s="54"/>
      <c r="H18" s="54"/>
      <c r="I18" s="39"/>
      <c r="J18" s="39"/>
      <c r="K18" s="39"/>
    </row>
    <row r="19" ht="15.0" customHeight="1">
      <c r="A19" s="55"/>
      <c r="B19" s="52" t="s">
        <v>97</v>
      </c>
      <c r="C19" s="49"/>
      <c r="D19" s="49"/>
      <c r="E19" s="56">
        <v>3309.0</v>
      </c>
      <c r="F19" s="53"/>
      <c r="G19" s="54"/>
      <c r="H19" s="63" t="s">
        <v>98</v>
      </c>
      <c r="I19" s="39"/>
      <c r="J19" s="39"/>
      <c r="K19" s="39"/>
    </row>
    <row r="20">
      <c r="A20" s="55"/>
      <c r="B20" s="62" t="s">
        <v>99</v>
      </c>
      <c r="C20" s="49"/>
      <c r="D20" s="49"/>
      <c r="E20" s="56">
        <v>9000.0</v>
      </c>
      <c r="F20" s="53"/>
      <c r="G20" s="54"/>
      <c r="H20" s="54"/>
      <c r="I20" s="39"/>
      <c r="J20" s="39"/>
      <c r="K20" s="39"/>
    </row>
    <row r="21" ht="15.75" customHeight="1">
      <c r="A21" s="44"/>
      <c r="B21" s="52"/>
      <c r="C21" s="49"/>
      <c r="D21" s="49"/>
      <c r="E21" s="53"/>
      <c r="F21" s="53"/>
      <c r="G21" s="54"/>
      <c r="H21" s="54"/>
      <c r="I21" s="39"/>
      <c r="J21" s="39"/>
      <c r="K21" s="39"/>
    </row>
    <row r="22" ht="15.75" customHeight="1">
      <c r="A22" s="64"/>
      <c r="B22" s="65"/>
      <c r="C22" s="66"/>
      <c r="D22" s="67"/>
      <c r="E22" s="68"/>
      <c r="F22" s="68"/>
      <c r="G22" s="69"/>
      <c r="H22" s="69"/>
      <c r="I22" s="39"/>
      <c r="J22" s="39"/>
      <c r="K22" s="39"/>
    </row>
    <row r="23" ht="15.75" customHeight="1">
      <c r="A23" s="70"/>
      <c r="B23" s="14" t="s">
        <v>100</v>
      </c>
      <c r="C23" s="49"/>
      <c r="D23" s="71">
        <v>28000.0</v>
      </c>
      <c r="E23" s="53"/>
      <c r="F23" s="53"/>
      <c r="G23" s="54"/>
      <c r="H23" s="54"/>
      <c r="I23" s="39"/>
      <c r="J23" s="39"/>
      <c r="K23" s="39"/>
    </row>
    <row r="24" ht="15.75" customHeight="1">
      <c r="A24" s="70"/>
      <c r="B24" s="27" t="s">
        <v>62</v>
      </c>
      <c r="C24" s="72"/>
      <c r="D24" s="73">
        <v>28000.0</v>
      </c>
      <c r="E24" s="74"/>
      <c r="F24" s="53"/>
      <c r="G24" s="54"/>
      <c r="H24" s="54"/>
      <c r="I24" s="39"/>
      <c r="J24" s="39"/>
      <c r="K24" s="39"/>
    </row>
    <row r="25" ht="42.0" customHeight="1">
      <c r="A25" s="70"/>
      <c r="B25" s="27" t="s">
        <v>101</v>
      </c>
      <c r="C25" s="72"/>
      <c r="D25" s="75">
        <v>24500.0</v>
      </c>
      <c r="E25" s="74"/>
      <c r="F25" s="76"/>
      <c r="G25" s="77"/>
      <c r="H25" s="54"/>
      <c r="I25" s="39"/>
      <c r="J25" s="39"/>
      <c r="K25" s="39"/>
      <c r="L25" s="20"/>
      <c r="M25" s="20"/>
      <c r="N25" s="20"/>
      <c r="O25" s="20"/>
    </row>
    <row r="26" ht="18.75" customHeight="1">
      <c r="A26" s="70"/>
      <c r="B26" s="14" t="s">
        <v>69</v>
      </c>
      <c r="C26" s="49"/>
      <c r="D26" s="49">
        <v>7000.0</v>
      </c>
      <c r="E26" s="53"/>
      <c r="F26" s="53"/>
      <c r="G26" s="54"/>
      <c r="H26" s="54"/>
      <c r="I26" s="39"/>
      <c r="J26" s="39"/>
      <c r="K26" s="39"/>
      <c r="L26" s="20"/>
      <c r="M26" s="20"/>
      <c r="N26" s="20"/>
      <c r="O26" s="20"/>
    </row>
    <row r="27" ht="15.75" customHeight="1">
      <c r="A27" s="78"/>
      <c r="B27" s="79" t="s">
        <v>102</v>
      </c>
      <c r="C27" s="60"/>
      <c r="D27" s="80">
        <v>59500.0</v>
      </c>
      <c r="E27" s="81"/>
      <c r="F27" s="81"/>
      <c r="G27" s="81"/>
      <c r="H27" s="54"/>
      <c r="I27" s="39"/>
      <c r="J27" s="39"/>
      <c r="K27" s="39"/>
      <c r="L27" s="20"/>
      <c r="M27" s="20"/>
      <c r="N27" s="20"/>
      <c r="O27" s="20"/>
    </row>
    <row r="28" ht="15.75" customHeight="1">
      <c r="A28" s="78"/>
      <c r="B28" s="52" t="s">
        <v>103</v>
      </c>
      <c r="C28" s="60"/>
      <c r="D28" s="58">
        <v>59500.0</v>
      </c>
      <c r="E28" s="81"/>
      <c r="F28" s="81"/>
      <c r="G28" s="81"/>
      <c r="H28" s="54"/>
      <c r="I28" s="39"/>
      <c r="J28" s="39"/>
      <c r="K28" s="39"/>
      <c r="L28" s="20"/>
      <c r="M28" s="20"/>
      <c r="N28" s="20"/>
      <c r="O28" s="20"/>
    </row>
    <row r="29" ht="28.5" customHeight="1">
      <c r="A29" s="78"/>
      <c r="B29" s="52"/>
      <c r="C29" s="53"/>
      <c r="D29" s="80"/>
      <c r="E29" s="81"/>
      <c r="F29" s="81"/>
      <c r="G29" s="81"/>
      <c r="H29" s="54"/>
      <c r="I29" s="39"/>
      <c r="J29" s="39"/>
      <c r="K29" s="39"/>
      <c r="L29" s="20"/>
      <c r="M29" s="20"/>
      <c r="N29" s="20"/>
      <c r="O29" s="20"/>
    </row>
    <row r="30" ht="15.75" customHeight="1">
      <c r="A30" s="82"/>
      <c r="B30" s="83"/>
      <c r="C30" s="84"/>
      <c r="D30" s="84"/>
      <c r="E30" s="84"/>
      <c r="F30" s="85"/>
      <c r="G30" s="86"/>
      <c r="H30" s="86"/>
      <c r="I30" s="87"/>
      <c r="J30" s="39"/>
      <c r="K30" s="39"/>
      <c r="L30" s="87"/>
      <c r="M30" s="87"/>
      <c r="N30" s="87"/>
      <c r="O30" s="87"/>
      <c r="P30" s="88"/>
      <c r="Q30" s="88"/>
      <c r="R30" s="88"/>
      <c r="S30" s="88"/>
      <c r="T30" s="88"/>
      <c r="U30" s="88"/>
    </row>
    <row r="31" ht="15.75" customHeight="1">
      <c r="A31" s="45">
        <v>45930.0</v>
      </c>
      <c r="B31" s="46" t="s">
        <v>104</v>
      </c>
      <c r="C31" s="47">
        <f>(C4+D31)-E31</f>
        <v>488643</v>
      </c>
      <c r="D31" s="47">
        <f t="shared" ref="D31:E31" si="1">SUM(D5:D30)</f>
        <v>206500</v>
      </c>
      <c r="E31" s="47">
        <f t="shared" si="1"/>
        <v>205515</v>
      </c>
      <c r="F31" s="89"/>
      <c r="G31" s="90"/>
      <c r="H31" s="90"/>
      <c r="I31" s="20"/>
      <c r="J31" s="39"/>
      <c r="K31" s="39"/>
      <c r="N31" s="20"/>
      <c r="O31" s="20"/>
      <c r="P31" s="20"/>
      <c r="Q31" s="20"/>
      <c r="R31" s="20"/>
      <c r="S31" s="20"/>
      <c r="T31" s="20"/>
      <c r="U31" s="20"/>
    </row>
    <row r="32" ht="15.75" customHeight="1">
      <c r="C32" s="39"/>
      <c r="D32" s="39"/>
      <c r="E32" s="39"/>
      <c r="F32" s="39"/>
      <c r="G32" s="91"/>
      <c r="H32" s="91"/>
      <c r="I32" s="20"/>
      <c r="J32" s="20"/>
      <c r="K32" s="20"/>
      <c r="L32" s="20"/>
      <c r="M32" s="20"/>
      <c r="N32" s="20"/>
      <c r="R32" s="20"/>
      <c r="S32" s="20"/>
      <c r="T32" s="20"/>
      <c r="U32" s="20"/>
      <c r="V32" s="20"/>
      <c r="W32" s="20"/>
      <c r="X32" s="20"/>
      <c r="Y32" s="20"/>
    </row>
    <row r="33" ht="15.75" customHeight="1">
      <c r="C33" s="39"/>
      <c r="D33" s="39"/>
      <c r="E33" s="39"/>
      <c r="F33" s="39"/>
      <c r="G33" s="91"/>
      <c r="H33" s="91"/>
      <c r="I33" s="20"/>
      <c r="J33" s="20"/>
      <c r="K33" s="20"/>
      <c r="L33" s="20"/>
      <c r="M33" s="20"/>
      <c r="N33" s="20"/>
      <c r="R33" s="20"/>
      <c r="S33" s="20"/>
      <c r="T33" s="20"/>
      <c r="U33" s="20"/>
      <c r="V33" s="20"/>
      <c r="W33" s="20"/>
      <c r="X33" s="20"/>
      <c r="Y33" s="20"/>
    </row>
    <row r="34" ht="15.75" customHeight="1">
      <c r="C34" s="39"/>
      <c r="D34" s="39"/>
      <c r="E34" s="39"/>
      <c r="F34" s="39"/>
      <c r="G34" s="91"/>
      <c r="H34" s="91"/>
      <c r="I34" s="20"/>
      <c r="J34" s="20"/>
      <c r="K34" s="20"/>
      <c r="L34" s="20"/>
      <c r="M34" s="20"/>
      <c r="N34" s="20"/>
      <c r="R34" s="20"/>
      <c r="S34" s="20"/>
      <c r="T34" s="20"/>
      <c r="U34" s="20"/>
      <c r="V34" s="20"/>
      <c r="W34" s="20"/>
      <c r="X34" s="20"/>
      <c r="Y34" s="20"/>
    </row>
    <row r="35" ht="30.75" customHeight="1">
      <c r="B35" s="92" t="s">
        <v>105</v>
      </c>
      <c r="C35" s="93" t="s">
        <v>45</v>
      </c>
      <c r="D35" s="93" t="s">
        <v>58</v>
      </c>
      <c r="E35" s="93" t="s">
        <v>9</v>
      </c>
      <c r="F35" s="93" t="s">
        <v>51</v>
      </c>
      <c r="G35" s="93" t="s">
        <v>28</v>
      </c>
      <c r="H35" s="94" t="s">
        <v>106</v>
      </c>
      <c r="I35" s="95" t="s">
        <v>56</v>
      </c>
      <c r="J35" s="20"/>
      <c r="K35" s="20"/>
      <c r="L35" s="20"/>
      <c r="M35" s="20"/>
      <c r="P35" s="20"/>
      <c r="Q35" s="20"/>
      <c r="R35" s="20"/>
      <c r="S35" s="20"/>
      <c r="T35" s="20"/>
      <c r="U35" s="20"/>
    </row>
    <row r="36" ht="15.75" customHeight="1">
      <c r="B36" s="96" t="s">
        <v>107</v>
      </c>
      <c r="C36" s="47">
        <v>94340.0</v>
      </c>
      <c r="D36" s="47">
        <v>236135.0</v>
      </c>
      <c r="E36" s="47">
        <v>-17500.0</v>
      </c>
      <c r="F36" s="47">
        <v>62078.0</v>
      </c>
      <c r="G36" s="47">
        <v>59105.0</v>
      </c>
      <c r="H36" s="97">
        <v>53500.0</v>
      </c>
      <c r="I36" s="98">
        <v>487658.0</v>
      </c>
      <c r="J36" s="20"/>
      <c r="K36" s="20"/>
      <c r="L36" s="20"/>
      <c r="M36" s="20"/>
      <c r="P36" s="20"/>
      <c r="Q36" s="20"/>
      <c r="R36" s="20"/>
      <c r="S36" s="20"/>
      <c r="T36" s="20"/>
      <c r="U36" s="20"/>
    </row>
    <row r="37" ht="15.75" customHeight="1">
      <c r="B37" s="99" t="s">
        <v>108</v>
      </c>
      <c r="C37" s="20"/>
      <c r="D37" s="20"/>
      <c r="E37" s="20"/>
      <c r="F37" s="20"/>
      <c r="G37" s="20"/>
      <c r="H37" s="100"/>
      <c r="I37" s="101">
        <f>SUM(C37:H45)</f>
        <v>206500</v>
      </c>
      <c r="J37" s="39"/>
      <c r="K37" s="20"/>
      <c r="L37" s="20"/>
      <c r="M37" s="20"/>
      <c r="P37" s="20"/>
      <c r="Q37" s="20"/>
      <c r="R37" s="20"/>
      <c r="S37" s="20"/>
      <c r="T37" s="20"/>
      <c r="U37" s="20"/>
    </row>
    <row r="38" ht="15.75" customHeight="1">
      <c r="B38" s="102" t="s">
        <v>109</v>
      </c>
      <c r="C38" s="103"/>
      <c r="D38" s="103"/>
      <c r="E38" s="103"/>
      <c r="F38" s="104">
        <v>20000.0</v>
      </c>
      <c r="G38" s="104">
        <v>-20000.0</v>
      </c>
      <c r="H38" s="105"/>
      <c r="I38" s="106"/>
      <c r="J38" s="20"/>
      <c r="K38" s="20"/>
      <c r="L38" s="20"/>
      <c r="M38" s="20"/>
      <c r="P38" s="20"/>
      <c r="Q38" s="20"/>
      <c r="R38" s="20"/>
      <c r="S38" s="20"/>
      <c r="T38" s="20"/>
      <c r="U38" s="20"/>
    </row>
    <row r="39" ht="15.75" customHeight="1">
      <c r="B39" s="107" t="s">
        <v>110</v>
      </c>
      <c r="C39" s="49">
        <f>52500</f>
        <v>52500</v>
      </c>
      <c r="D39" s="49"/>
      <c r="E39" s="49">
        <v>3500.0</v>
      </c>
      <c r="F39" s="108">
        <v>52500.0</v>
      </c>
      <c r="G39" s="49">
        <v>7000.0</v>
      </c>
      <c r="H39" s="100">
        <v>3500.0</v>
      </c>
      <c r="I39" s="106"/>
      <c r="J39" s="20"/>
      <c r="K39" s="20"/>
      <c r="L39" s="20"/>
      <c r="M39" s="20"/>
      <c r="P39" s="20"/>
      <c r="Q39" s="20"/>
      <c r="R39" s="20"/>
      <c r="S39" s="20"/>
      <c r="T39" s="20"/>
      <c r="U39" s="20"/>
    </row>
    <row r="40" ht="15.75" customHeight="1">
      <c r="B40" s="109" t="s">
        <v>100</v>
      </c>
      <c r="C40" s="49"/>
      <c r="D40" s="49"/>
      <c r="E40" s="49"/>
      <c r="F40" s="49">
        <v>28000.0</v>
      </c>
      <c r="G40" s="49"/>
      <c r="H40" s="100"/>
      <c r="I40" s="106"/>
      <c r="J40" s="20"/>
      <c r="K40" s="20"/>
      <c r="L40" s="20"/>
      <c r="M40" s="20"/>
      <c r="P40" s="20"/>
      <c r="Q40" s="20"/>
      <c r="R40" s="20"/>
      <c r="S40" s="20"/>
      <c r="T40" s="20"/>
      <c r="U40" s="20"/>
    </row>
    <row r="41" ht="15.75" customHeight="1">
      <c r="B41" s="110" t="s">
        <v>62</v>
      </c>
      <c r="C41" s="111"/>
      <c r="D41" s="111">
        <v>28000.0</v>
      </c>
      <c r="E41" s="111"/>
      <c r="F41" s="111"/>
      <c r="G41" s="111"/>
      <c r="H41" s="100"/>
      <c r="I41" s="106"/>
      <c r="J41" s="20"/>
      <c r="K41" s="20"/>
      <c r="L41" s="20"/>
      <c r="M41" s="20"/>
      <c r="P41" s="20"/>
      <c r="Q41" s="20"/>
      <c r="R41" s="20"/>
      <c r="S41" s="20"/>
      <c r="T41" s="20"/>
      <c r="U41" s="20"/>
    </row>
    <row r="42" ht="15.75" customHeight="1">
      <c r="B42" s="110" t="s">
        <v>101</v>
      </c>
      <c r="C42" s="111"/>
      <c r="D42" s="111"/>
      <c r="E42" s="111"/>
      <c r="F42" s="112">
        <v>24500.0</v>
      </c>
      <c r="G42" s="111"/>
      <c r="H42" s="100"/>
      <c r="I42" s="106"/>
      <c r="J42" s="20"/>
      <c r="K42" s="20"/>
      <c r="L42" s="20"/>
      <c r="M42" s="20"/>
      <c r="P42" s="20"/>
      <c r="Q42" s="20"/>
      <c r="R42" s="20"/>
      <c r="S42" s="20"/>
      <c r="T42" s="20"/>
      <c r="U42" s="20"/>
    </row>
    <row r="43" ht="15.75" customHeight="1">
      <c r="B43" s="109" t="s">
        <v>69</v>
      </c>
      <c r="C43" s="111"/>
      <c r="D43" s="111"/>
      <c r="E43" s="111"/>
      <c r="F43" s="111">
        <v>7000.0</v>
      </c>
      <c r="G43" s="111"/>
      <c r="H43" s="100"/>
      <c r="I43" s="106"/>
      <c r="J43" s="20"/>
      <c r="K43" s="20"/>
      <c r="L43" s="20"/>
      <c r="M43" s="20"/>
      <c r="P43" s="20"/>
      <c r="Q43" s="20"/>
      <c r="R43" s="20"/>
      <c r="S43" s="20"/>
      <c r="T43" s="20"/>
      <c r="U43" s="20"/>
    </row>
    <row r="44" ht="15.75" customHeight="1">
      <c r="B44" s="113" t="s">
        <v>111</v>
      </c>
      <c r="C44" s="111"/>
      <c r="D44" s="111"/>
      <c r="E44" s="111"/>
      <c r="F44" s="111"/>
      <c r="G44" s="111"/>
      <c r="H44" s="100"/>
      <c r="I44" s="106"/>
      <c r="J44" s="20"/>
      <c r="K44" s="20"/>
      <c r="L44" s="20"/>
      <c r="M44" s="20"/>
      <c r="P44" s="20"/>
      <c r="Q44" s="20"/>
      <c r="R44" s="20"/>
      <c r="S44" s="20"/>
      <c r="T44" s="20"/>
      <c r="U44" s="20"/>
    </row>
    <row r="45" ht="15.75" customHeight="1">
      <c r="B45" s="113"/>
      <c r="C45" s="111"/>
      <c r="D45" s="111"/>
      <c r="E45" s="111"/>
      <c r="F45" s="111"/>
      <c r="G45" s="111"/>
      <c r="H45" s="100"/>
      <c r="I45" s="114"/>
      <c r="J45" s="20"/>
      <c r="K45" s="20"/>
      <c r="L45" s="20"/>
      <c r="M45" s="20"/>
      <c r="P45" s="20"/>
      <c r="Q45" s="20"/>
      <c r="R45" s="20"/>
      <c r="S45" s="20"/>
      <c r="T45" s="20"/>
      <c r="U45" s="20"/>
    </row>
    <row r="46" ht="15.75" customHeight="1">
      <c r="B46" s="99" t="s">
        <v>112</v>
      </c>
      <c r="C46" s="115"/>
      <c r="D46" s="115"/>
      <c r="E46" s="115"/>
      <c r="F46" s="115"/>
      <c r="G46" s="115"/>
      <c r="H46" s="116"/>
      <c r="I46" s="117">
        <f>SUM(C46:H55)</f>
        <v>-205515</v>
      </c>
      <c r="J46" s="20"/>
      <c r="K46" s="20"/>
      <c r="L46" s="20"/>
      <c r="M46" s="20"/>
      <c r="P46" s="20"/>
      <c r="Q46" s="20"/>
      <c r="R46" s="20"/>
      <c r="S46" s="20"/>
      <c r="T46" s="20"/>
      <c r="U46" s="20"/>
    </row>
    <row r="47" ht="15.75" customHeight="1">
      <c r="B47" s="118" t="s">
        <v>93</v>
      </c>
      <c r="C47" s="111"/>
      <c r="D47" s="111"/>
      <c r="E47" s="111"/>
      <c r="F47" s="111">
        <f>-E15</f>
        <v>0</v>
      </c>
      <c r="G47" s="111"/>
      <c r="H47" s="119"/>
      <c r="I47" s="120"/>
      <c r="J47" s="20"/>
      <c r="K47" s="20"/>
      <c r="L47" s="20"/>
      <c r="M47" s="20"/>
      <c r="P47" s="20"/>
      <c r="Q47" s="20"/>
      <c r="R47" s="20"/>
      <c r="S47" s="20"/>
      <c r="T47" s="20"/>
      <c r="U47" s="20"/>
    </row>
    <row r="48" ht="15.75" customHeight="1">
      <c r="B48" s="118" t="s">
        <v>113</v>
      </c>
      <c r="C48" s="111"/>
      <c r="D48" s="111"/>
      <c r="E48" s="111"/>
      <c r="F48" s="111"/>
      <c r="G48" s="111"/>
      <c r="H48" s="119"/>
      <c r="I48" s="120"/>
      <c r="J48" s="20"/>
      <c r="K48" s="20"/>
      <c r="L48" s="20"/>
      <c r="M48" s="20"/>
      <c r="P48" s="20"/>
      <c r="Q48" s="20"/>
      <c r="R48" s="20"/>
      <c r="S48" s="20"/>
      <c r="T48" s="20"/>
      <c r="U48" s="20"/>
    </row>
    <row r="49" ht="15.75" customHeight="1">
      <c r="B49" s="107" t="s">
        <v>114</v>
      </c>
      <c r="C49" s="49">
        <f>-SUM(E10:E12)</f>
        <v>-52806</v>
      </c>
      <c r="D49" s="49"/>
      <c r="E49" s="49"/>
      <c r="F49" s="49"/>
      <c r="G49" s="49"/>
      <c r="H49" s="119"/>
      <c r="I49" s="120"/>
      <c r="J49" s="20"/>
      <c r="K49" s="20"/>
      <c r="L49" s="20"/>
      <c r="M49" s="20"/>
      <c r="P49" s="20"/>
      <c r="Q49" s="20"/>
      <c r="R49" s="20"/>
      <c r="S49" s="20"/>
      <c r="T49" s="20"/>
      <c r="U49" s="20"/>
    </row>
    <row r="50" ht="15.75" customHeight="1">
      <c r="B50" s="107" t="s">
        <v>115</v>
      </c>
      <c r="C50" s="49"/>
      <c r="D50" s="49"/>
      <c r="E50" s="49"/>
      <c r="F50" s="49"/>
      <c r="G50" s="49">
        <v>-1000.0</v>
      </c>
      <c r="H50" s="119"/>
      <c r="I50" s="120"/>
      <c r="J50" s="20"/>
      <c r="K50" s="20"/>
      <c r="L50" s="20"/>
      <c r="M50" s="20"/>
      <c r="P50" s="20"/>
      <c r="Q50" s="20"/>
      <c r="R50" s="20"/>
      <c r="S50" s="20"/>
      <c r="T50" s="20"/>
      <c r="U50" s="20"/>
    </row>
    <row r="51" ht="15.75" customHeight="1">
      <c r="B51" s="107" t="s">
        <v>116</v>
      </c>
      <c r="C51" s="49"/>
      <c r="D51" s="49"/>
      <c r="E51" s="49"/>
      <c r="F51" s="49">
        <f>-E9</f>
        <v>-88400</v>
      </c>
      <c r="G51" s="49"/>
      <c r="H51" s="119"/>
      <c r="I51" s="120"/>
      <c r="J51" s="20"/>
      <c r="K51" s="20"/>
      <c r="L51" s="20"/>
      <c r="M51" s="20"/>
      <c r="P51" s="20"/>
      <c r="Q51" s="20"/>
      <c r="R51" s="20"/>
      <c r="S51" s="20"/>
      <c r="T51" s="20"/>
      <c r="U51" s="20"/>
    </row>
    <row r="52" ht="15.75" customHeight="1">
      <c r="B52" s="121" t="s">
        <v>117</v>
      </c>
      <c r="C52" s="49"/>
      <c r="D52" s="49"/>
      <c r="E52" s="49"/>
      <c r="F52" s="49">
        <f>-E6-E7</f>
        <v>-34500</v>
      </c>
      <c r="G52" s="49"/>
      <c r="H52" s="119"/>
      <c r="I52" s="120"/>
      <c r="J52" s="20"/>
      <c r="K52" s="20"/>
      <c r="L52" s="20"/>
      <c r="M52" s="20"/>
      <c r="P52" s="20"/>
      <c r="Q52" s="20"/>
      <c r="R52" s="20"/>
      <c r="S52" s="20"/>
      <c r="T52" s="20"/>
      <c r="U52" s="20"/>
    </row>
    <row r="53" ht="15.75" customHeight="1">
      <c r="B53" s="121" t="s">
        <v>118</v>
      </c>
      <c r="C53" s="49"/>
      <c r="D53" s="49"/>
      <c r="E53" s="49"/>
      <c r="F53" s="49">
        <f>-E5</f>
        <v>-16000</v>
      </c>
      <c r="G53" s="49"/>
      <c r="H53" s="119"/>
      <c r="I53" s="120"/>
      <c r="J53" s="20"/>
      <c r="K53" s="20"/>
      <c r="L53" s="20"/>
      <c r="M53" s="20"/>
      <c r="P53" s="20"/>
      <c r="Q53" s="20"/>
      <c r="R53" s="20"/>
      <c r="S53" s="20"/>
      <c r="T53" s="20"/>
      <c r="U53" s="20"/>
    </row>
    <row r="54" ht="15.75" customHeight="1">
      <c r="B54" s="121"/>
      <c r="C54" s="49"/>
      <c r="D54" s="49"/>
      <c r="E54" s="49"/>
      <c r="F54" s="49"/>
      <c r="G54" s="49"/>
      <c r="H54" s="119"/>
      <c r="I54" s="120"/>
      <c r="J54" s="39">
        <f>H56+7000</f>
        <v>64000</v>
      </c>
      <c r="K54" s="20"/>
      <c r="L54" s="20"/>
      <c r="M54" s="20"/>
      <c r="P54" s="20"/>
      <c r="Q54" s="20"/>
      <c r="R54" s="20"/>
      <c r="S54" s="20"/>
      <c r="T54" s="20"/>
      <c r="U54" s="20"/>
    </row>
    <row r="55" ht="15.75" customHeight="1">
      <c r="B55" s="121" t="s">
        <v>119</v>
      </c>
      <c r="C55" s="49"/>
      <c r="D55" s="49"/>
      <c r="E55" s="49"/>
      <c r="F55" s="108">
        <v>-3309.0</v>
      </c>
      <c r="G55" s="108">
        <v>-9500.0</v>
      </c>
      <c r="H55" s="119"/>
      <c r="I55" s="122"/>
      <c r="J55" s="20">
        <f>J54/3500</f>
        <v>18.28571429</v>
      </c>
      <c r="K55" s="20"/>
      <c r="L55" s="20"/>
      <c r="M55" s="20"/>
      <c r="P55" s="20"/>
      <c r="Q55" s="20"/>
      <c r="R55" s="20"/>
      <c r="S55" s="20"/>
      <c r="T55" s="20"/>
      <c r="U55" s="20"/>
    </row>
    <row r="56" ht="15.75" customHeight="1">
      <c r="B56" s="123" t="s">
        <v>120</v>
      </c>
      <c r="C56" s="124">
        <f t="shared" ref="C56:H56" si="2">SUM(C36:C55)</f>
        <v>94034</v>
      </c>
      <c r="D56" s="124">
        <f t="shared" si="2"/>
        <v>264135</v>
      </c>
      <c r="E56" s="124">
        <f t="shared" si="2"/>
        <v>-14000</v>
      </c>
      <c r="F56" s="124">
        <f t="shared" si="2"/>
        <v>51869</v>
      </c>
      <c r="G56" s="124">
        <f t="shared" si="2"/>
        <v>35605</v>
      </c>
      <c r="H56" s="124">
        <f t="shared" si="2"/>
        <v>57000</v>
      </c>
      <c r="I56" s="125">
        <f>SUM(I36:I54)</f>
        <v>488643</v>
      </c>
      <c r="J56" s="20"/>
      <c r="K56" s="20"/>
      <c r="L56" s="20"/>
      <c r="M56" s="20"/>
      <c r="Q56" s="20"/>
      <c r="R56" s="20"/>
      <c r="S56" s="20"/>
      <c r="T56" s="20"/>
      <c r="U56" s="20"/>
      <c r="V56" s="20"/>
      <c r="W56" s="20"/>
    </row>
    <row r="57" ht="15.75" customHeight="1">
      <c r="C57" s="39"/>
      <c r="D57" s="39"/>
      <c r="E57" s="39"/>
      <c r="F57" s="39"/>
      <c r="G57" s="91"/>
      <c r="H57" s="91"/>
      <c r="I57" s="20"/>
      <c r="J57" s="20"/>
      <c r="K57" s="20"/>
      <c r="L57" s="20"/>
      <c r="M57" s="20"/>
      <c r="N57" s="20"/>
      <c r="R57" s="20"/>
      <c r="S57" s="20"/>
      <c r="T57" s="20"/>
      <c r="U57" s="20"/>
      <c r="V57" s="20"/>
      <c r="W57" s="20"/>
      <c r="X57" s="20"/>
      <c r="Y57" s="20"/>
    </row>
    <row r="58" ht="15.75" customHeight="1">
      <c r="C58" s="39"/>
      <c r="D58" s="39"/>
      <c r="E58" s="39"/>
      <c r="F58" s="39"/>
      <c r="G58" s="91"/>
      <c r="H58" s="91"/>
      <c r="I58" s="20"/>
      <c r="J58" s="20"/>
      <c r="K58" s="20"/>
      <c r="L58" s="20"/>
      <c r="M58" s="20"/>
      <c r="N58" s="20"/>
      <c r="R58" s="20"/>
      <c r="S58" s="20"/>
      <c r="T58" s="20"/>
      <c r="U58" s="20"/>
      <c r="V58" s="20"/>
      <c r="W58" s="20"/>
      <c r="X58" s="20"/>
      <c r="Y58" s="20"/>
    </row>
    <row r="59" ht="15.75" customHeight="1">
      <c r="C59" s="39"/>
      <c r="D59" s="39"/>
      <c r="E59" s="39"/>
      <c r="F59" s="39"/>
      <c r="G59" s="91"/>
      <c r="H59" s="91"/>
      <c r="I59" s="20"/>
      <c r="J59" s="20"/>
      <c r="K59" s="20"/>
      <c r="L59" s="20"/>
      <c r="M59" s="20"/>
      <c r="N59" s="20"/>
      <c r="R59" s="20"/>
      <c r="S59" s="20"/>
      <c r="T59" s="20"/>
      <c r="U59" s="20"/>
      <c r="V59" s="20"/>
      <c r="W59" s="20"/>
      <c r="X59" s="20"/>
      <c r="Y59" s="20"/>
    </row>
    <row r="60" ht="15.75" customHeight="1">
      <c r="B60" s="126" t="s">
        <v>121</v>
      </c>
      <c r="G60" s="91"/>
      <c r="H60" s="91"/>
      <c r="I60" s="20"/>
      <c r="J60" s="20"/>
      <c r="K60" s="20"/>
      <c r="L60" s="20"/>
      <c r="M60" s="20"/>
      <c r="N60" s="20"/>
      <c r="R60" s="20"/>
      <c r="S60" s="20"/>
      <c r="T60" s="20"/>
      <c r="U60" s="20"/>
      <c r="V60" s="20"/>
      <c r="W60" s="20"/>
      <c r="X60" s="20"/>
      <c r="Y60" s="20"/>
    </row>
    <row r="61" ht="15.75" customHeight="1">
      <c r="B61" s="47" t="s">
        <v>122</v>
      </c>
      <c r="C61" s="47" t="s">
        <v>123</v>
      </c>
      <c r="D61" s="47" t="s">
        <v>124</v>
      </c>
      <c r="E61" s="47" t="s">
        <v>73</v>
      </c>
      <c r="F61" s="39"/>
      <c r="G61" s="91"/>
      <c r="H61" s="91"/>
      <c r="I61" s="20"/>
      <c r="J61" s="20"/>
      <c r="K61" s="20"/>
      <c r="L61" s="20"/>
      <c r="M61" s="20"/>
      <c r="N61" s="20"/>
      <c r="R61" s="20"/>
      <c r="S61" s="20"/>
      <c r="T61" s="20"/>
      <c r="U61" s="20"/>
      <c r="V61" s="20"/>
      <c r="W61" s="20"/>
      <c r="X61" s="20"/>
      <c r="Y61" s="20"/>
    </row>
    <row r="62" ht="15.75" customHeight="1">
      <c r="B62" s="20"/>
      <c r="C62" s="39"/>
      <c r="D62" s="39"/>
      <c r="E62" s="127"/>
      <c r="F62" s="39"/>
      <c r="G62" s="91"/>
      <c r="H62" s="91"/>
      <c r="I62" s="20"/>
      <c r="J62" s="20"/>
      <c r="K62" s="20"/>
      <c r="L62" s="20"/>
      <c r="M62" s="20"/>
      <c r="N62" s="20"/>
      <c r="R62" s="20"/>
      <c r="S62" s="20"/>
      <c r="T62" s="20"/>
      <c r="U62" s="20"/>
      <c r="V62" s="20"/>
      <c r="W62" s="20"/>
      <c r="X62" s="20"/>
      <c r="Y62" s="20"/>
    </row>
    <row r="63" ht="15.75" customHeight="1">
      <c r="B63" s="20" t="s">
        <v>125</v>
      </c>
      <c r="C63" s="39"/>
      <c r="D63" s="39"/>
      <c r="E63" s="39"/>
      <c r="F63" s="39"/>
      <c r="G63" s="91"/>
      <c r="H63" s="91"/>
      <c r="I63" s="20"/>
      <c r="J63" s="20"/>
      <c r="K63" s="20"/>
      <c r="L63" s="20"/>
      <c r="M63" s="20"/>
      <c r="N63" s="20"/>
      <c r="R63" s="20"/>
      <c r="S63" s="20"/>
      <c r="T63" s="20"/>
      <c r="U63" s="20"/>
      <c r="V63" s="20"/>
      <c r="W63" s="20"/>
      <c r="X63" s="20"/>
      <c r="Y63" s="20"/>
    </row>
    <row r="64" ht="15.75" customHeight="1">
      <c r="B64" s="128" t="s">
        <v>70</v>
      </c>
      <c r="C64" s="129">
        <v>203400.0</v>
      </c>
      <c r="E64" s="39"/>
      <c r="F64" s="91"/>
      <c r="G64" s="91"/>
      <c r="H64" s="20"/>
      <c r="I64" s="20"/>
      <c r="J64" s="20"/>
      <c r="K64" s="20"/>
      <c r="L64" s="20"/>
      <c r="M64" s="20"/>
      <c r="Q64" s="20"/>
      <c r="R64" s="20"/>
      <c r="S64" s="20"/>
      <c r="T64" s="20"/>
      <c r="U64" s="20"/>
      <c r="V64" s="20"/>
      <c r="W64" s="20"/>
      <c r="X64" s="20"/>
    </row>
    <row r="65" ht="15.75" customHeight="1">
      <c r="B65" s="130" t="s">
        <v>126</v>
      </c>
      <c r="C65" s="131">
        <v>15000.0</v>
      </c>
      <c r="E65" s="39"/>
      <c r="F65" s="91"/>
      <c r="G65" s="91"/>
      <c r="H65" s="20"/>
      <c r="I65" s="20"/>
      <c r="J65" s="20"/>
      <c r="K65" s="20"/>
      <c r="L65" s="20"/>
      <c r="M65" s="20"/>
      <c r="Q65" s="20"/>
      <c r="R65" s="20"/>
      <c r="S65" s="20"/>
      <c r="T65" s="20"/>
      <c r="U65" s="20"/>
      <c r="V65" s="20"/>
      <c r="W65" s="20"/>
      <c r="X65" s="20"/>
    </row>
    <row r="66" ht="15.75" customHeight="1">
      <c r="B66" s="130" t="s">
        <v>63</v>
      </c>
      <c r="C66" s="131">
        <v>4100.0</v>
      </c>
      <c r="D66" s="39"/>
      <c r="E66" s="39"/>
      <c r="F66" s="39"/>
      <c r="G66" s="91"/>
      <c r="H66" s="91"/>
      <c r="I66" s="20"/>
      <c r="J66" s="20"/>
      <c r="K66" s="20"/>
      <c r="L66" s="20"/>
      <c r="M66" s="20"/>
      <c r="N66" s="20"/>
      <c r="R66" s="20"/>
      <c r="S66" s="20"/>
      <c r="T66" s="20"/>
      <c r="U66" s="20"/>
      <c r="V66" s="20"/>
      <c r="W66" s="20"/>
      <c r="X66" s="20"/>
      <c r="Y66" s="20"/>
    </row>
    <row r="67" ht="15.75" customHeight="1">
      <c r="C67" s="39"/>
      <c r="D67" s="39"/>
      <c r="E67" s="39"/>
      <c r="F67" s="39"/>
      <c r="G67" s="91"/>
      <c r="H67" s="91"/>
      <c r="I67" s="20"/>
      <c r="J67" s="20"/>
      <c r="K67" s="20"/>
      <c r="L67" s="20"/>
      <c r="M67" s="20"/>
      <c r="N67" s="20"/>
      <c r="R67" s="20"/>
      <c r="S67" s="20"/>
      <c r="T67" s="20"/>
      <c r="U67" s="20"/>
      <c r="V67" s="20"/>
      <c r="W67" s="20"/>
      <c r="X67" s="20"/>
      <c r="Y67" s="20"/>
    </row>
    <row r="68" ht="15.75" customHeight="1">
      <c r="C68" s="39"/>
      <c r="D68" s="39"/>
      <c r="E68" s="39"/>
      <c r="F68" s="39"/>
      <c r="G68" s="91"/>
      <c r="H68" s="91"/>
      <c r="I68" s="20"/>
      <c r="J68" s="20"/>
      <c r="K68" s="20"/>
      <c r="L68" s="20"/>
      <c r="M68" s="20"/>
      <c r="N68" s="20"/>
      <c r="R68" s="20"/>
      <c r="S68" s="20"/>
      <c r="T68" s="20"/>
      <c r="U68" s="20"/>
      <c r="V68" s="20"/>
      <c r="W68" s="20"/>
      <c r="X68" s="20"/>
      <c r="Y68" s="20"/>
    </row>
    <row r="69" ht="15.75" customHeight="1">
      <c r="D69" s="39"/>
      <c r="E69" s="39"/>
      <c r="F69" s="39"/>
      <c r="G69" s="91"/>
      <c r="H69" s="91"/>
      <c r="I69" s="20"/>
      <c r="J69" s="20"/>
      <c r="K69" s="20"/>
      <c r="L69" s="20"/>
      <c r="M69" s="20"/>
      <c r="N69" s="20"/>
      <c r="R69" s="20"/>
      <c r="S69" s="20"/>
      <c r="T69" s="20"/>
      <c r="U69" s="20"/>
      <c r="V69" s="20"/>
      <c r="W69" s="20"/>
      <c r="X69" s="20"/>
      <c r="Y69" s="20"/>
    </row>
    <row r="70" ht="15.75" customHeight="1">
      <c r="D70" s="39"/>
      <c r="E70" s="39"/>
      <c r="F70" s="39"/>
      <c r="G70" s="91"/>
      <c r="H70" s="91"/>
      <c r="I70" s="20"/>
      <c r="J70" s="20"/>
      <c r="K70" s="20"/>
      <c r="L70" s="20"/>
      <c r="M70" s="20"/>
      <c r="N70" s="20"/>
      <c r="R70" s="20"/>
      <c r="S70" s="20"/>
      <c r="T70" s="20"/>
      <c r="U70" s="20"/>
      <c r="V70" s="20"/>
      <c r="W70" s="20"/>
      <c r="X70" s="20"/>
      <c r="Y70" s="20"/>
    </row>
    <row r="71" ht="15.75" customHeight="1">
      <c r="D71" s="39"/>
      <c r="E71" s="39"/>
      <c r="F71" s="39"/>
      <c r="G71" s="91"/>
      <c r="H71" s="91"/>
      <c r="I71" s="20"/>
      <c r="J71" s="20"/>
      <c r="K71" s="20"/>
      <c r="L71" s="20"/>
      <c r="M71" s="20"/>
      <c r="N71" s="20"/>
      <c r="R71" s="20"/>
      <c r="S71" s="20"/>
      <c r="T71" s="20"/>
      <c r="U71" s="20"/>
      <c r="V71" s="20"/>
      <c r="W71" s="20"/>
      <c r="X71" s="20"/>
      <c r="Y71" s="20"/>
    </row>
    <row r="72" ht="15.75" customHeight="1">
      <c r="D72" s="39"/>
      <c r="E72" s="39"/>
      <c r="F72" s="39"/>
      <c r="G72" s="91"/>
      <c r="H72" s="91"/>
      <c r="I72" s="20"/>
      <c r="J72" s="20"/>
      <c r="K72" s="20"/>
      <c r="L72" s="20"/>
      <c r="M72" s="20"/>
      <c r="N72" s="20"/>
      <c r="R72" s="20"/>
      <c r="S72" s="20"/>
      <c r="T72" s="20"/>
      <c r="U72" s="20"/>
      <c r="V72" s="20"/>
      <c r="W72" s="20"/>
      <c r="X72" s="20"/>
      <c r="Y72" s="20"/>
    </row>
    <row r="73" ht="15.75" customHeight="1">
      <c r="D73" s="39"/>
      <c r="E73" s="39"/>
      <c r="F73" s="39"/>
      <c r="G73" s="91"/>
      <c r="H73" s="91"/>
      <c r="I73" s="20"/>
      <c r="J73" s="20"/>
      <c r="K73" s="20"/>
      <c r="L73" s="20"/>
      <c r="M73" s="20"/>
      <c r="N73" s="20"/>
      <c r="R73" s="20"/>
      <c r="S73" s="20"/>
      <c r="T73" s="20"/>
      <c r="U73" s="20"/>
      <c r="V73" s="20"/>
      <c r="W73" s="20"/>
      <c r="X73" s="20"/>
      <c r="Y73" s="20"/>
    </row>
    <row r="74" ht="15.75" customHeight="1">
      <c r="D74" s="39"/>
      <c r="E74" s="39"/>
      <c r="F74" s="39"/>
      <c r="G74" s="91"/>
      <c r="H74" s="91"/>
      <c r="I74" s="20"/>
      <c r="J74" s="20"/>
      <c r="K74" s="20"/>
      <c r="L74" s="20"/>
      <c r="M74" s="20"/>
      <c r="N74" s="20"/>
      <c r="R74" s="20"/>
      <c r="S74" s="20"/>
      <c r="T74" s="20"/>
      <c r="U74" s="20"/>
      <c r="V74" s="20"/>
      <c r="W74" s="20"/>
      <c r="X74" s="20"/>
      <c r="Y74" s="20"/>
    </row>
    <row r="75" ht="15.75" customHeight="1">
      <c r="D75" s="39"/>
      <c r="E75" s="39"/>
      <c r="F75" s="39"/>
      <c r="G75" s="91"/>
      <c r="H75" s="91"/>
      <c r="I75" s="20"/>
      <c r="J75" s="20"/>
      <c r="K75" s="20"/>
      <c r="L75" s="20"/>
      <c r="M75" s="20"/>
      <c r="N75" s="20"/>
      <c r="R75" s="20"/>
      <c r="S75" s="20"/>
      <c r="T75" s="20"/>
      <c r="U75" s="20"/>
      <c r="V75" s="20"/>
      <c r="W75" s="20"/>
      <c r="X75" s="20"/>
      <c r="Y75" s="20"/>
    </row>
    <row r="76" ht="15.75" customHeight="1">
      <c r="D76" s="39"/>
      <c r="E76" s="39"/>
      <c r="F76" s="39"/>
      <c r="G76" s="91"/>
      <c r="H76" s="91"/>
      <c r="I76" s="20"/>
      <c r="J76" s="20"/>
      <c r="K76" s="20"/>
      <c r="L76" s="20"/>
      <c r="M76" s="20"/>
      <c r="N76" s="20"/>
      <c r="R76" s="20"/>
      <c r="S76" s="20"/>
      <c r="T76" s="20"/>
      <c r="U76" s="20"/>
      <c r="V76" s="20"/>
      <c r="W76" s="20"/>
      <c r="X76" s="20"/>
      <c r="Y76" s="20"/>
    </row>
    <row r="77" ht="15.75" customHeight="1">
      <c r="D77" s="39"/>
      <c r="E77" s="39"/>
      <c r="F77" s="39"/>
      <c r="G77" s="91"/>
      <c r="H77" s="91"/>
      <c r="I77" s="20"/>
      <c r="J77" s="20"/>
      <c r="K77" s="20"/>
      <c r="L77" s="20"/>
      <c r="M77" s="20"/>
      <c r="N77" s="20"/>
      <c r="R77" s="20"/>
      <c r="S77" s="20"/>
      <c r="T77" s="20"/>
      <c r="U77" s="20"/>
      <c r="V77" s="20"/>
      <c r="W77" s="20"/>
      <c r="X77" s="20"/>
      <c r="Y77" s="20"/>
    </row>
    <row r="78" ht="15.75" customHeight="1">
      <c r="D78" s="39"/>
      <c r="E78" s="39"/>
      <c r="F78" s="39"/>
      <c r="G78" s="91"/>
      <c r="H78" s="91"/>
      <c r="I78" s="20"/>
      <c r="J78" s="20"/>
      <c r="K78" s="20"/>
      <c r="L78" s="20"/>
      <c r="M78" s="20"/>
      <c r="N78" s="20"/>
      <c r="R78" s="20"/>
      <c r="S78" s="20"/>
      <c r="T78" s="20"/>
      <c r="U78" s="20"/>
      <c r="V78" s="20"/>
      <c r="W78" s="20"/>
      <c r="X78" s="20"/>
      <c r="Y78" s="20"/>
    </row>
    <row r="79" ht="15.75" customHeight="1">
      <c r="D79" s="39"/>
      <c r="E79" s="39"/>
      <c r="F79" s="39"/>
      <c r="G79" s="91"/>
      <c r="H79" s="91"/>
      <c r="I79" s="20"/>
      <c r="J79" s="20"/>
      <c r="K79" s="20"/>
      <c r="L79" s="20"/>
      <c r="M79" s="20"/>
      <c r="N79" s="20"/>
      <c r="R79" s="20"/>
      <c r="S79" s="20"/>
      <c r="T79" s="20"/>
      <c r="U79" s="20"/>
      <c r="V79" s="20"/>
      <c r="W79" s="20"/>
      <c r="X79" s="20"/>
      <c r="Y79" s="20"/>
    </row>
    <row r="80" ht="15.75" customHeight="1">
      <c r="D80" s="39"/>
      <c r="E80" s="39"/>
      <c r="F80" s="39"/>
      <c r="G80" s="91"/>
      <c r="H80" s="91"/>
      <c r="I80" s="20"/>
      <c r="J80" s="20"/>
      <c r="K80" s="20"/>
      <c r="L80" s="20"/>
      <c r="M80" s="20"/>
      <c r="N80" s="20"/>
      <c r="R80" s="20"/>
      <c r="S80" s="20"/>
      <c r="T80" s="20"/>
      <c r="U80" s="20"/>
      <c r="V80" s="20"/>
      <c r="W80" s="20"/>
      <c r="X80" s="20"/>
      <c r="Y80" s="20"/>
    </row>
    <row r="81" ht="15.75" customHeight="1">
      <c r="D81" s="39"/>
      <c r="E81" s="39"/>
      <c r="F81" s="39"/>
      <c r="G81" s="91"/>
      <c r="H81" s="91"/>
      <c r="I81" s="20"/>
      <c r="J81" s="20"/>
      <c r="K81" s="20"/>
      <c r="L81" s="20"/>
      <c r="M81" s="20"/>
      <c r="N81" s="20"/>
      <c r="R81" s="20"/>
      <c r="S81" s="20"/>
      <c r="T81" s="20"/>
      <c r="U81" s="20"/>
      <c r="V81" s="20"/>
      <c r="W81" s="20"/>
      <c r="X81" s="20"/>
      <c r="Y81" s="20"/>
    </row>
    <row r="82" ht="15.75" customHeight="1">
      <c r="D82" s="39"/>
      <c r="E82" s="39"/>
      <c r="F82" s="39"/>
      <c r="G82" s="91"/>
      <c r="H82" s="91"/>
      <c r="I82" s="20"/>
      <c r="J82" s="20"/>
      <c r="K82" s="20"/>
      <c r="L82" s="20"/>
      <c r="M82" s="20"/>
      <c r="N82" s="20"/>
      <c r="R82" s="20"/>
      <c r="S82" s="20"/>
      <c r="T82" s="20"/>
      <c r="U82" s="20"/>
      <c r="V82" s="20"/>
      <c r="W82" s="20"/>
      <c r="X82" s="20"/>
      <c r="Y82" s="20"/>
    </row>
    <row r="83" ht="15.75" customHeight="1">
      <c r="D83" s="39"/>
      <c r="E83" s="39"/>
      <c r="F83" s="39"/>
      <c r="G83" s="91"/>
      <c r="H83" s="91"/>
      <c r="I83" s="20"/>
      <c r="J83" s="20"/>
      <c r="K83" s="20"/>
      <c r="L83" s="20"/>
      <c r="M83" s="20"/>
      <c r="N83" s="20"/>
      <c r="R83" s="20"/>
      <c r="S83" s="20"/>
      <c r="T83" s="20"/>
      <c r="U83" s="20"/>
      <c r="V83" s="20"/>
      <c r="W83" s="20"/>
      <c r="X83" s="20"/>
      <c r="Y83" s="20"/>
    </row>
    <row r="84" ht="15.75" customHeight="1">
      <c r="D84" s="39"/>
      <c r="E84" s="39"/>
      <c r="F84" s="39"/>
      <c r="G84" s="91"/>
      <c r="H84" s="91"/>
      <c r="I84" s="20"/>
      <c r="J84" s="20"/>
      <c r="K84" s="20"/>
      <c r="L84" s="20"/>
      <c r="M84" s="20"/>
      <c r="N84" s="20"/>
      <c r="R84" s="20"/>
      <c r="S84" s="20"/>
      <c r="T84" s="20"/>
      <c r="U84" s="20"/>
      <c r="V84" s="20"/>
      <c r="W84" s="20"/>
      <c r="X84" s="20"/>
      <c r="Y84" s="20"/>
    </row>
    <row r="85" ht="15.75" customHeight="1">
      <c r="D85" s="39"/>
      <c r="E85" s="39"/>
      <c r="F85" s="39"/>
      <c r="G85" s="91"/>
      <c r="H85" s="91"/>
      <c r="I85" s="20"/>
      <c r="J85" s="20"/>
      <c r="K85" s="20"/>
      <c r="L85" s="20"/>
      <c r="M85" s="20"/>
      <c r="N85" s="20"/>
      <c r="R85" s="20"/>
      <c r="S85" s="20"/>
      <c r="T85" s="20"/>
      <c r="U85" s="20"/>
      <c r="V85" s="20"/>
      <c r="W85" s="20"/>
      <c r="X85" s="20"/>
      <c r="Y85" s="20"/>
    </row>
    <row r="86" ht="15.75" customHeight="1">
      <c r="D86" s="39"/>
      <c r="E86" s="39"/>
      <c r="F86" s="39"/>
      <c r="G86" s="91"/>
      <c r="H86" s="91"/>
      <c r="I86" s="20"/>
      <c r="J86" s="20"/>
      <c r="K86" s="20"/>
      <c r="L86" s="20"/>
      <c r="M86" s="20"/>
      <c r="N86" s="20"/>
      <c r="R86" s="20"/>
      <c r="S86" s="20"/>
      <c r="T86" s="20"/>
      <c r="U86" s="20"/>
      <c r="V86" s="20"/>
      <c r="W86" s="20"/>
      <c r="X86" s="20"/>
      <c r="Y86" s="20"/>
    </row>
    <row r="87" ht="15.75" customHeight="1">
      <c r="D87" s="39"/>
      <c r="E87" s="39"/>
      <c r="F87" s="39"/>
      <c r="G87" s="91"/>
      <c r="H87" s="91"/>
      <c r="I87" s="20"/>
      <c r="J87" s="20"/>
      <c r="K87" s="20"/>
      <c r="L87" s="20"/>
      <c r="M87" s="20"/>
      <c r="N87" s="20"/>
      <c r="R87" s="20"/>
      <c r="S87" s="20"/>
      <c r="T87" s="20"/>
      <c r="U87" s="20"/>
      <c r="V87" s="20"/>
      <c r="W87" s="20"/>
      <c r="X87" s="20"/>
      <c r="Y87" s="20"/>
    </row>
    <row r="88" ht="15.75" customHeight="1">
      <c r="D88" s="39"/>
      <c r="E88" s="39"/>
      <c r="F88" s="39"/>
      <c r="G88" s="91"/>
      <c r="H88" s="91"/>
      <c r="I88" s="20"/>
      <c r="J88" s="20"/>
      <c r="K88" s="20"/>
      <c r="L88" s="20"/>
      <c r="M88" s="20"/>
      <c r="N88" s="20"/>
      <c r="R88" s="20"/>
      <c r="S88" s="20"/>
      <c r="T88" s="20"/>
      <c r="U88" s="20"/>
      <c r="V88" s="20"/>
      <c r="W88" s="20"/>
      <c r="X88" s="20"/>
      <c r="Y88" s="20"/>
    </row>
    <row r="89" ht="15.75" customHeight="1">
      <c r="D89" s="39"/>
      <c r="E89" s="39"/>
      <c r="F89" s="39"/>
      <c r="G89" s="91"/>
      <c r="H89" s="91"/>
      <c r="I89" s="20"/>
      <c r="J89" s="20"/>
      <c r="K89" s="20"/>
      <c r="L89" s="20"/>
      <c r="M89" s="20"/>
      <c r="N89" s="20"/>
      <c r="R89" s="20"/>
      <c r="S89" s="20"/>
      <c r="T89" s="20"/>
      <c r="U89" s="20"/>
      <c r="V89" s="20"/>
      <c r="W89" s="20"/>
      <c r="X89" s="20"/>
      <c r="Y89" s="20"/>
    </row>
    <row r="90" ht="15.75" customHeight="1">
      <c r="D90" s="39"/>
      <c r="E90" s="39"/>
      <c r="F90" s="39"/>
      <c r="G90" s="91"/>
      <c r="H90" s="91"/>
      <c r="I90" s="20"/>
      <c r="J90" s="20"/>
      <c r="K90" s="20"/>
      <c r="L90" s="20"/>
      <c r="M90" s="20"/>
      <c r="N90" s="20"/>
      <c r="R90" s="20"/>
      <c r="S90" s="20"/>
      <c r="T90" s="20"/>
      <c r="U90" s="20"/>
      <c r="V90" s="20"/>
      <c r="W90" s="20"/>
      <c r="X90" s="20"/>
      <c r="Y90" s="20"/>
    </row>
    <row r="91" ht="15.75" customHeight="1">
      <c r="D91" s="39"/>
      <c r="E91" s="39"/>
      <c r="F91" s="39"/>
      <c r="G91" s="91"/>
      <c r="H91" s="91"/>
      <c r="I91" s="20"/>
      <c r="J91" s="20"/>
      <c r="K91" s="20"/>
      <c r="L91" s="20"/>
      <c r="M91" s="20"/>
      <c r="N91" s="20"/>
      <c r="R91" s="20"/>
      <c r="S91" s="20"/>
      <c r="T91" s="20"/>
      <c r="U91" s="20"/>
      <c r="V91" s="20"/>
      <c r="W91" s="20"/>
      <c r="X91" s="20"/>
      <c r="Y91" s="20"/>
    </row>
    <row r="92" ht="15.75" customHeight="1">
      <c r="D92" s="39"/>
      <c r="E92" s="39"/>
      <c r="F92" s="39"/>
      <c r="G92" s="91"/>
      <c r="H92" s="91"/>
      <c r="I92" s="20"/>
      <c r="J92" s="20"/>
      <c r="K92" s="20"/>
      <c r="L92" s="20"/>
      <c r="M92" s="20"/>
      <c r="N92" s="20"/>
      <c r="R92" s="20"/>
      <c r="S92" s="20"/>
      <c r="T92" s="20"/>
      <c r="U92" s="20"/>
      <c r="V92" s="20"/>
      <c r="W92" s="20"/>
      <c r="X92" s="20"/>
      <c r="Y92" s="20"/>
    </row>
    <row r="93" ht="15.75" customHeight="1">
      <c r="D93" s="39"/>
      <c r="E93" s="39"/>
      <c r="F93" s="39"/>
      <c r="G93" s="91"/>
      <c r="H93" s="91"/>
      <c r="I93" s="20"/>
      <c r="J93" s="20"/>
      <c r="K93" s="20"/>
      <c r="L93" s="20"/>
      <c r="M93" s="20"/>
      <c r="N93" s="20"/>
      <c r="R93" s="20"/>
      <c r="S93" s="20"/>
      <c r="T93" s="20"/>
      <c r="U93" s="20"/>
      <c r="V93" s="20"/>
      <c r="W93" s="20"/>
      <c r="X93" s="20"/>
      <c r="Y93" s="20"/>
    </row>
    <row r="94" ht="15.75" customHeight="1">
      <c r="D94" s="39"/>
      <c r="E94" s="39"/>
      <c r="F94" s="39"/>
      <c r="G94" s="91"/>
      <c r="H94" s="91"/>
      <c r="I94" s="20"/>
      <c r="J94" s="20"/>
      <c r="K94" s="20"/>
      <c r="L94" s="20"/>
      <c r="M94" s="20"/>
      <c r="N94" s="20"/>
      <c r="R94" s="20"/>
      <c r="S94" s="20"/>
      <c r="T94" s="20"/>
      <c r="U94" s="20"/>
      <c r="V94" s="20"/>
      <c r="W94" s="20"/>
      <c r="X94" s="20"/>
      <c r="Y94" s="20"/>
    </row>
    <row r="95" ht="15.75" customHeight="1">
      <c r="D95" s="39"/>
      <c r="E95" s="39"/>
      <c r="F95" s="39"/>
      <c r="G95" s="91"/>
      <c r="H95" s="91"/>
      <c r="I95" s="20"/>
      <c r="J95" s="20"/>
      <c r="K95" s="20"/>
      <c r="L95" s="20"/>
      <c r="M95" s="20"/>
      <c r="N95" s="20"/>
      <c r="R95" s="20"/>
      <c r="S95" s="20"/>
      <c r="T95" s="20"/>
      <c r="U95" s="20"/>
      <c r="V95" s="20"/>
      <c r="W95" s="20"/>
      <c r="X95" s="20"/>
      <c r="Y95" s="20"/>
    </row>
    <row r="96" ht="15.75" customHeight="1">
      <c r="D96" s="39"/>
      <c r="E96" s="39"/>
      <c r="F96" s="39"/>
      <c r="G96" s="91"/>
      <c r="H96" s="91"/>
      <c r="I96" s="20"/>
      <c r="J96" s="20"/>
      <c r="K96" s="20"/>
      <c r="L96" s="20"/>
      <c r="M96" s="20"/>
      <c r="N96" s="20"/>
      <c r="R96" s="20"/>
      <c r="S96" s="20"/>
      <c r="T96" s="20"/>
      <c r="U96" s="20"/>
      <c r="V96" s="20"/>
      <c r="W96" s="20"/>
      <c r="X96" s="20"/>
      <c r="Y96" s="20"/>
    </row>
    <row r="97" ht="15.75" customHeight="1">
      <c r="D97" s="39"/>
      <c r="E97" s="39"/>
      <c r="F97" s="39"/>
      <c r="G97" s="91"/>
      <c r="H97" s="91"/>
      <c r="I97" s="20"/>
      <c r="J97" s="20"/>
      <c r="K97" s="20"/>
      <c r="L97" s="20"/>
      <c r="M97" s="20"/>
      <c r="N97" s="20"/>
      <c r="R97" s="20"/>
      <c r="S97" s="20"/>
      <c r="T97" s="20"/>
      <c r="U97" s="20"/>
      <c r="V97" s="20"/>
      <c r="W97" s="20"/>
      <c r="X97" s="20"/>
      <c r="Y97" s="20"/>
    </row>
    <row r="98" ht="15.75" customHeight="1">
      <c r="D98" s="39"/>
      <c r="E98" s="39"/>
      <c r="F98" s="39"/>
      <c r="G98" s="91"/>
      <c r="H98" s="91"/>
      <c r="I98" s="20"/>
      <c r="J98" s="20"/>
      <c r="K98" s="20"/>
      <c r="L98" s="20"/>
      <c r="M98" s="20"/>
      <c r="N98" s="20"/>
      <c r="R98" s="20"/>
      <c r="S98" s="20"/>
      <c r="T98" s="20"/>
      <c r="U98" s="20"/>
      <c r="V98" s="20"/>
      <c r="W98" s="20"/>
      <c r="X98" s="20"/>
      <c r="Y98" s="20"/>
    </row>
    <row r="99" ht="15.75" customHeight="1">
      <c r="D99" s="39"/>
      <c r="E99" s="39"/>
      <c r="F99" s="39"/>
      <c r="G99" s="91"/>
      <c r="H99" s="91"/>
      <c r="I99" s="20"/>
      <c r="J99" s="20"/>
      <c r="K99" s="20"/>
      <c r="L99" s="20"/>
      <c r="M99" s="20"/>
      <c r="N99" s="20"/>
      <c r="R99" s="20"/>
      <c r="S99" s="20"/>
      <c r="T99" s="20"/>
      <c r="U99" s="20"/>
      <c r="V99" s="20"/>
      <c r="W99" s="20"/>
      <c r="X99" s="20"/>
      <c r="Y99" s="20"/>
    </row>
    <row r="100" ht="15.75" customHeight="1">
      <c r="D100" s="39"/>
      <c r="E100" s="39"/>
      <c r="F100" s="39"/>
      <c r="G100" s="91"/>
      <c r="H100" s="91"/>
      <c r="I100" s="20"/>
      <c r="J100" s="20"/>
      <c r="K100" s="20"/>
      <c r="L100" s="20"/>
      <c r="M100" s="20"/>
      <c r="N100" s="20"/>
      <c r="R100" s="20"/>
      <c r="S100" s="20"/>
      <c r="T100" s="20"/>
      <c r="U100" s="20"/>
      <c r="V100" s="20"/>
      <c r="W100" s="20"/>
      <c r="X100" s="20"/>
      <c r="Y100" s="20"/>
    </row>
    <row r="101" ht="15.75" customHeight="1">
      <c r="D101" s="39"/>
      <c r="E101" s="39"/>
      <c r="F101" s="39"/>
      <c r="G101" s="91"/>
      <c r="H101" s="91"/>
      <c r="I101" s="20"/>
      <c r="J101" s="20"/>
      <c r="K101" s="20"/>
      <c r="L101" s="20"/>
      <c r="M101" s="20"/>
      <c r="N101" s="20"/>
      <c r="R101" s="20"/>
      <c r="S101" s="20"/>
      <c r="T101" s="20"/>
      <c r="U101" s="20"/>
      <c r="V101" s="20"/>
      <c r="W101" s="20"/>
      <c r="X101" s="20"/>
      <c r="Y101" s="20"/>
    </row>
    <row r="102" ht="15.75" customHeight="1">
      <c r="D102" s="39"/>
      <c r="E102" s="39"/>
      <c r="F102" s="39"/>
      <c r="G102" s="91"/>
      <c r="H102" s="91"/>
      <c r="I102" s="20"/>
      <c r="J102" s="20"/>
      <c r="K102" s="20"/>
      <c r="L102" s="20"/>
      <c r="M102" s="20"/>
      <c r="N102" s="20"/>
      <c r="R102" s="20"/>
      <c r="S102" s="20"/>
      <c r="T102" s="20"/>
      <c r="U102" s="20"/>
      <c r="V102" s="20"/>
      <c r="W102" s="20"/>
      <c r="X102" s="20"/>
      <c r="Y102" s="20"/>
    </row>
    <row r="103" ht="15.75" customHeight="1">
      <c r="D103" s="39"/>
      <c r="E103" s="39"/>
      <c r="F103" s="39"/>
      <c r="G103" s="91"/>
      <c r="H103" s="91"/>
      <c r="I103" s="20"/>
      <c r="J103" s="20"/>
      <c r="K103" s="20"/>
      <c r="L103" s="20"/>
      <c r="M103" s="20"/>
      <c r="N103" s="20"/>
      <c r="R103" s="20"/>
      <c r="S103" s="20"/>
      <c r="T103" s="20"/>
      <c r="U103" s="20"/>
      <c r="V103" s="20"/>
      <c r="W103" s="20"/>
      <c r="X103" s="20"/>
      <c r="Y103" s="20"/>
    </row>
    <row r="104" ht="15.75" customHeight="1">
      <c r="D104" s="39"/>
      <c r="E104" s="39"/>
      <c r="F104" s="39"/>
      <c r="G104" s="91"/>
      <c r="H104" s="91"/>
      <c r="I104" s="20"/>
      <c r="J104" s="20"/>
      <c r="K104" s="20"/>
      <c r="L104" s="20"/>
      <c r="M104" s="20"/>
      <c r="N104" s="20"/>
      <c r="R104" s="20"/>
      <c r="S104" s="20"/>
      <c r="T104" s="20"/>
      <c r="U104" s="20"/>
      <c r="V104" s="20"/>
      <c r="W104" s="20"/>
      <c r="X104" s="20"/>
      <c r="Y104" s="20"/>
    </row>
    <row r="105" ht="15.75" customHeight="1">
      <c r="D105" s="39"/>
      <c r="E105" s="39"/>
      <c r="F105" s="39"/>
      <c r="G105" s="91"/>
      <c r="H105" s="91"/>
      <c r="I105" s="20"/>
      <c r="J105" s="20"/>
      <c r="K105" s="20"/>
      <c r="L105" s="20"/>
      <c r="M105" s="20"/>
      <c r="N105" s="20"/>
      <c r="R105" s="20"/>
      <c r="S105" s="20"/>
      <c r="T105" s="20"/>
      <c r="U105" s="20"/>
      <c r="V105" s="20"/>
      <c r="W105" s="20"/>
      <c r="X105" s="20"/>
      <c r="Y105" s="20"/>
    </row>
    <row r="106" ht="15.75" customHeight="1">
      <c r="D106" s="39"/>
      <c r="E106" s="39"/>
      <c r="F106" s="39"/>
      <c r="G106" s="91"/>
      <c r="H106" s="91"/>
      <c r="I106" s="20"/>
      <c r="J106" s="20"/>
      <c r="K106" s="20"/>
      <c r="L106" s="20"/>
      <c r="M106" s="20"/>
      <c r="N106" s="20"/>
      <c r="R106" s="20"/>
      <c r="S106" s="20"/>
      <c r="T106" s="20"/>
      <c r="U106" s="20"/>
      <c r="V106" s="20"/>
      <c r="W106" s="20"/>
      <c r="X106" s="20"/>
      <c r="Y106" s="20"/>
    </row>
    <row r="107" ht="15.75" customHeight="1">
      <c r="D107" s="39"/>
      <c r="E107" s="39"/>
      <c r="F107" s="39"/>
      <c r="G107" s="91"/>
      <c r="H107" s="91"/>
      <c r="I107" s="20"/>
      <c r="J107" s="20"/>
      <c r="K107" s="20"/>
      <c r="L107" s="20"/>
      <c r="M107" s="20"/>
      <c r="N107" s="20"/>
      <c r="R107" s="20"/>
      <c r="S107" s="20"/>
      <c r="T107" s="20"/>
      <c r="U107" s="20"/>
      <c r="V107" s="20"/>
      <c r="W107" s="20"/>
      <c r="X107" s="20"/>
      <c r="Y107" s="20"/>
    </row>
    <row r="108" ht="15.75" customHeight="1">
      <c r="D108" s="39"/>
      <c r="E108" s="39"/>
      <c r="F108" s="39"/>
      <c r="G108" s="91"/>
      <c r="H108" s="91"/>
      <c r="I108" s="20"/>
      <c r="J108" s="20"/>
      <c r="K108" s="20"/>
      <c r="L108" s="20"/>
      <c r="M108" s="20"/>
      <c r="N108" s="20"/>
      <c r="R108" s="20"/>
      <c r="S108" s="20"/>
      <c r="T108" s="20"/>
      <c r="U108" s="20"/>
      <c r="V108" s="20"/>
      <c r="W108" s="20"/>
      <c r="X108" s="20"/>
      <c r="Y108" s="20"/>
    </row>
    <row r="109" ht="15.75" customHeight="1">
      <c r="D109" s="39"/>
      <c r="E109" s="39"/>
      <c r="F109" s="39"/>
      <c r="G109" s="91"/>
      <c r="H109" s="91"/>
      <c r="I109" s="20"/>
      <c r="J109" s="20"/>
      <c r="K109" s="20"/>
      <c r="L109" s="20"/>
      <c r="M109" s="20"/>
      <c r="N109" s="20"/>
      <c r="R109" s="20"/>
      <c r="S109" s="20"/>
      <c r="T109" s="20"/>
      <c r="U109" s="20"/>
      <c r="V109" s="20"/>
      <c r="W109" s="20"/>
      <c r="X109" s="20"/>
      <c r="Y109" s="20"/>
    </row>
    <row r="110" ht="15.75" customHeight="1">
      <c r="D110" s="39"/>
      <c r="E110" s="39"/>
      <c r="F110" s="39"/>
      <c r="G110" s="91"/>
      <c r="H110" s="91"/>
      <c r="I110" s="20"/>
      <c r="J110" s="20"/>
      <c r="K110" s="20"/>
      <c r="L110" s="20"/>
      <c r="M110" s="20"/>
      <c r="N110" s="20"/>
      <c r="R110" s="20"/>
      <c r="S110" s="20"/>
      <c r="T110" s="20"/>
      <c r="U110" s="20"/>
      <c r="V110" s="20"/>
      <c r="W110" s="20"/>
      <c r="X110" s="20"/>
      <c r="Y110" s="20"/>
    </row>
    <row r="111" ht="15.75" customHeight="1">
      <c r="D111" s="39"/>
      <c r="E111" s="39"/>
      <c r="F111" s="39"/>
      <c r="G111" s="91"/>
      <c r="H111" s="91"/>
      <c r="I111" s="20"/>
      <c r="J111" s="20"/>
      <c r="K111" s="20"/>
      <c r="L111" s="20"/>
      <c r="M111" s="20"/>
      <c r="N111" s="20"/>
      <c r="R111" s="20"/>
      <c r="S111" s="20"/>
      <c r="T111" s="20"/>
      <c r="U111" s="20"/>
      <c r="V111" s="20"/>
      <c r="W111" s="20"/>
      <c r="X111" s="20"/>
      <c r="Y111" s="20"/>
    </row>
    <row r="112" ht="15.75" customHeight="1">
      <c r="D112" s="39"/>
      <c r="E112" s="39"/>
      <c r="F112" s="39"/>
      <c r="G112" s="91"/>
      <c r="H112" s="91"/>
      <c r="I112" s="20"/>
      <c r="J112" s="20"/>
      <c r="K112" s="20"/>
      <c r="L112" s="20"/>
      <c r="M112" s="20"/>
      <c r="N112" s="20"/>
      <c r="R112" s="20"/>
      <c r="S112" s="20"/>
      <c r="T112" s="20"/>
      <c r="U112" s="20"/>
      <c r="V112" s="20"/>
      <c r="W112" s="20"/>
      <c r="X112" s="20"/>
      <c r="Y112" s="20"/>
    </row>
    <row r="113" ht="15.75" customHeight="1">
      <c r="D113" s="39"/>
      <c r="E113" s="39"/>
      <c r="F113" s="39"/>
      <c r="G113" s="91"/>
      <c r="H113" s="91"/>
      <c r="I113" s="20"/>
      <c r="J113" s="20"/>
      <c r="K113" s="20"/>
      <c r="L113" s="20"/>
      <c r="M113" s="20"/>
      <c r="N113" s="20"/>
      <c r="R113" s="20"/>
      <c r="S113" s="20"/>
      <c r="T113" s="20"/>
      <c r="U113" s="20"/>
      <c r="V113" s="20"/>
      <c r="W113" s="20"/>
      <c r="X113" s="20"/>
      <c r="Y113" s="20"/>
    </row>
    <row r="114" ht="15.75" customHeight="1">
      <c r="D114" s="39"/>
      <c r="E114" s="39"/>
      <c r="F114" s="39"/>
      <c r="G114" s="91"/>
      <c r="H114" s="91"/>
      <c r="I114" s="20"/>
      <c r="J114" s="20"/>
      <c r="K114" s="20"/>
      <c r="L114" s="20"/>
      <c r="M114" s="20"/>
      <c r="N114" s="20"/>
      <c r="R114" s="20"/>
      <c r="S114" s="20"/>
      <c r="T114" s="20"/>
      <c r="U114" s="20"/>
      <c r="V114" s="20"/>
      <c r="W114" s="20"/>
      <c r="X114" s="20"/>
      <c r="Y114" s="20"/>
    </row>
    <row r="115" ht="15.75" customHeight="1">
      <c r="D115" s="39"/>
      <c r="E115" s="39"/>
      <c r="F115" s="39"/>
      <c r="G115" s="91"/>
      <c r="H115" s="91"/>
      <c r="I115" s="20"/>
      <c r="J115" s="20"/>
      <c r="K115" s="20"/>
      <c r="L115" s="20"/>
      <c r="M115" s="20"/>
      <c r="N115" s="20"/>
      <c r="R115" s="20"/>
      <c r="S115" s="20"/>
      <c r="T115" s="20"/>
      <c r="U115" s="20"/>
      <c r="V115" s="20"/>
      <c r="W115" s="20"/>
      <c r="X115" s="20"/>
      <c r="Y115" s="20"/>
    </row>
    <row r="116" ht="15.75" customHeight="1">
      <c r="D116" s="39"/>
      <c r="E116" s="39"/>
      <c r="F116" s="39"/>
      <c r="G116" s="91"/>
      <c r="H116" s="91"/>
      <c r="I116" s="20"/>
      <c r="J116" s="20"/>
      <c r="K116" s="20"/>
      <c r="L116" s="20"/>
      <c r="M116" s="20"/>
      <c r="N116" s="20"/>
      <c r="R116" s="20"/>
      <c r="S116" s="20"/>
      <c r="T116" s="20"/>
      <c r="U116" s="20"/>
      <c r="V116" s="20"/>
      <c r="W116" s="20"/>
      <c r="X116" s="20"/>
      <c r="Y116" s="20"/>
    </row>
    <row r="117" ht="15.75" customHeight="1">
      <c r="D117" s="39"/>
      <c r="E117" s="39"/>
      <c r="F117" s="39"/>
      <c r="G117" s="91"/>
      <c r="H117" s="91"/>
      <c r="I117" s="20"/>
      <c r="J117" s="20"/>
      <c r="K117" s="20"/>
      <c r="L117" s="20"/>
      <c r="M117" s="20"/>
      <c r="N117" s="20"/>
      <c r="R117" s="20"/>
      <c r="S117" s="20"/>
      <c r="T117" s="20"/>
      <c r="U117" s="20"/>
      <c r="V117" s="20"/>
      <c r="W117" s="20"/>
      <c r="X117" s="20"/>
      <c r="Y117" s="20"/>
    </row>
    <row r="118" ht="15.75" customHeight="1">
      <c r="D118" s="39"/>
      <c r="E118" s="39"/>
      <c r="F118" s="39"/>
      <c r="G118" s="91"/>
      <c r="H118" s="91"/>
      <c r="I118" s="20"/>
      <c r="J118" s="20"/>
      <c r="K118" s="20"/>
      <c r="L118" s="20"/>
      <c r="M118" s="20"/>
      <c r="N118" s="20"/>
      <c r="R118" s="20"/>
      <c r="S118" s="20"/>
      <c r="T118" s="20"/>
      <c r="U118" s="20"/>
      <c r="V118" s="20"/>
      <c r="W118" s="20"/>
      <c r="X118" s="20"/>
      <c r="Y118" s="20"/>
    </row>
    <row r="119" ht="15.75" customHeight="1">
      <c r="D119" s="39"/>
      <c r="E119" s="39"/>
      <c r="F119" s="39"/>
      <c r="G119" s="91"/>
      <c r="H119" s="91"/>
      <c r="I119" s="20"/>
      <c r="J119" s="20"/>
      <c r="K119" s="20"/>
      <c r="L119" s="20"/>
      <c r="M119" s="20"/>
      <c r="N119" s="20"/>
      <c r="R119" s="20"/>
      <c r="S119" s="20"/>
      <c r="T119" s="20"/>
      <c r="U119" s="20"/>
      <c r="V119" s="20"/>
      <c r="W119" s="20"/>
      <c r="X119" s="20"/>
      <c r="Y119" s="20"/>
    </row>
    <row r="120" ht="15.75" customHeight="1">
      <c r="D120" s="39"/>
      <c r="E120" s="39"/>
      <c r="F120" s="39"/>
      <c r="G120" s="91"/>
      <c r="H120" s="91"/>
      <c r="I120" s="20"/>
      <c r="J120" s="20"/>
      <c r="K120" s="20"/>
      <c r="L120" s="20"/>
      <c r="M120" s="20"/>
      <c r="N120" s="20"/>
      <c r="R120" s="20"/>
      <c r="S120" s="20"/>
      <c r="T120" s="20"/>
      <c r="U120" s="20"/>
      <c r="V120" s="20"/>
      <c r="W120" s="20"/>
      <c r="X120" s="20"/>
      <c r="Y120" s="20"/>
    </row>
    <row r="121" ht="15.75" customHeight="1">
      <c r="D121" s="39"/>
      <c r="E121" s="39"/>
      <c r="F121" s="39"/>
      <c r="G121" s="91"/>
      <c r="H121" s="91"/>
      <c r="I121" s="20"/>
      <c r="J121" s="20"/>
      <c r="K121" s="20"/>
      <c r="L121" s="20"/>
      <c r="M121" s="20"/>
      <c r="N121" s="20"/>
      <c r="R121" s="20"/>
      <c r="S121" s="20"/>
      <c r="T121" s="20"/>
      <c r="U121" s="20"/>
      <c r="V121" s="20"/>
      <c r="W121" s="20"/>
      <c r="X121" s="20"/>
      <c r="Y121" s="20"/>
    </row>
    <row r="122" ht="15.75" customHeight="1">
      <c r="D122" s="39"/>
      <c r="E122" s="39"/>
      <c r="F122" s="39"/>
      <c r="G122" s="91"/>
      <c r="H122" s="91"/>
      <c r="I122" s="20"/>
      <c r="J122" s="20"/>
      <c r="K122" s="20"/>
      <c r="L122" s="20"/>
      <c r="M122" s="20"/>
      <c r="N122" s="20"/>
      <c r="R122" s="20"/>
      <c r="S122" s="20"/>
      <c r="T122" s="20"/>
      <c r="U122" s="20"/>
      <c r="V122" s="20"/>
      <c r="W122" s="20"/>
      <c r="X122" s="20"/>
      <c r="Y122" s="20"/>
    </row>
    <row r="123" ht="15.75" customHeight="1">
      <c r="D123" s="39"/>
      <c r="E123" s="39"/>
      <c r="F123" s="39"/>
      <c r="G123" s="91"/>
      <c r="H123" s="91"/>
      <c r="I123" s="20"/>
      <c r="J123" s="20"/>
      <c r="K123" s="20"/>
      <c r="L123" s="20"/>
      <c r="M123" s="20"/>
      <c r="N123" s="20"/>
    </row>
    <row r="124" ht="15.75" customHeight="1">
      <c r="D124" s="39"/>
      <c r="E124" s="39"/>
      <c r="F124" s="39"/>
      <c r="G124" s="91"/>
      <c r="H124" s="91"/>
      <c r="I124" s="20"/>
      <c r="J124" s="20"/>
      <c r="K124" s="20"/>
      <c r="L124" s="20"/>
      <c r="M124" s="20"/>
      <c r="N124" s="20"/>
    </row>
    <row r="125" ht="15.75" customHeight="1">
      <c r="D125" s="39"/>
      <c r="E125" s="39"/>
      <c r="F125" s="39"/>
      <c r="G125" s="91"/>
      <c r="H125" s="91"/>
      <c r="I125" s="20"/>
      <c r="J125" s="20"/>
      <c r="K125" s="20"/>
      <c r="L125" s="20"/>
      <c r="M125" s="20"/>
      <c r="N125" s="20"/>
    </row>
    <row r="126" ht="15.75" customHeight="1">
      <c r="D126" s="39"/>
      <c r="E126" s="39"/>
      <c r="F126" s="39"/>
      <c r="G126" s="91"/>
      <c r="H126" s="91"/>
      <c r="I126" s="20"/>
      <c r="J126" s="20"/>
      <c r="K126" s="20"/>
      <c r="L126" s="20"/>
      <c r="M126" s="20"/>
      <c r="N126" s="20"/>
    </row>
    <row r="127" ht="15.75" customHeight="1">
      <c r="D127" s="39"/>
      <c r="E127" s="39"/>
      <c r="F127" s="39"/>
      <c r="G127" s="91"/>
      <c r="H127" s="91"/>
      <c r="I127" s="20"/>
      <c r="J127" s="20"/>
      <c r="K127" s="20"/>
      <c r="L127" s="20"/>
      <c r="M127" s="20"/>
      <c r="N127" s="20"/>
    </row>
    <row r="128" ht="15.75" customHeight="1">
      <c r="D128" s="39"/>
      <c r="E128" s="39"/>
      <c r="F128" s="39"/>
      <c r="G128" s="91"/>
      <c r="H128" s="91"/>
      <c r="I128" s="20"/>
      <c r="J128" s="20"/>
      <c r="K128" s="20"/>
      <c r="L128" s="20"/>
      <c r="M128" s="20"/>
      <c r="N128" s="20"/>
    </row>
    <row r="129" ht="15.75" customHeight="1">
      <c r="G129" s="132"/>
      <c r="H129" s="132"/>
      <c r="I129" s="20"/>
      <c r="J129" s="20"/>
      <c r="K129" s="20"/>
      <c r="L129" s="20"/>
      <c r="M129" s="20"/>
      <c r="N129" s="20"/>
    </row>
    <row r="130" ht="15.75" customHeight="1">
      <c r="G130" s="132"/>
      <c r="H130" s="132"/>
      <c r="I130" s="20"/>
      <c r="J130" s="20"/>
      <c r="K130" s="20"/>
      <c r="L130" s="20"/>
      <c r="M130" s="20"/>
      <c r="N130" s="20"/>
    </row>
    <row r="131" ht="15.75" customHeight="1">
      <c r="G131" s="132"/>
      <c r="H131" s="132"/>
      <c r="I131" s="20"/>
      <c r="J131" s="20"/>
      <c r="K131" s="20"/>
      <c r="L131" s="20"/>
      <c r="M131" s="20"/>
      <c r="N131" s="20"/>
    </row>
    <row r="132" ht="15.75" customHeight="1">
      <c r="G132" s="132"/>
      <c r="H132" s="132"/>
      <c r="I132" s="20"/>
      <c r="J132" s="20"/>
      <c r="K132" s="20"/>
      <c r="L132" s="20"/>
      <c r="M132" s="20"/>
      <c r="N132" s="20"/>
    </row>
    <row r="133" ht="15.75" customHeight="1">
      <c r="G133" s="132"/>
      <c r="H133" s="132"/>
      <c r="I133" s="20"/>
      <c r="J133" s="20"/>
      <c r="K133" s="20"/>
      <c r="L133" s="20"/>
      <c r="M133" s="20"/>
      <c r="N133" s="20"/>
    </row>
    <row r="134" ht="15.75" customHeight="1">
      <c r="G134" s="132"/>
      <c r="H134" s="132"/>
      <c r="I134" s="20"/>
      <c r="J134" s="20"/>
      <c r="K134" s="20"/>
      <c r="L134" s="20"/>
      <c r="M134" s="20"/>
      <c r="N134" s="20"/>
    </row>
    <row r="135" ht="15.75" customHeight="1">
      <c r="G135" s="132"/>
      <c r="H135" s="132"/>
      <c r="I135" s="20"/>
      <c r="J135" s="20"/>
      <c r="K135" s="20"/>
      <c r="L135" s="20"/>
      <c r="M135" s="20"/>
      <c r="N135" s="20"/>
    </row>
    <row r="136" ht="15.75" customHeight="1">
      <c r="G136" s="132"/>
      <c r="H136" s="132"/>
      <c r="I136" s="20"/>
      <c r="J136" s="20"/>
      <c r="K136" s="20"/>
      <c r="L136" s="20"/>
      <c r="M136" s="20"/>
      <c r="N136" s="20"/>
    </row>
    <row r="137" ht="15.75" customHeight="1">
      <c r="G137" s="132"/>
      <c r="H137" s="132"/>
      <c r="I137" s="20"/>
      <c r="J137" s="20"/>
      <c r="K137" s="20"/>
      <c r="L137" s="20"/>
      <c r="M137" s="20"/>
      <c r="N137" s="20"/>
    </row>
    <row r="138" ht="15.75" customHeight="1">
      <c r="G138" s="132"/>
      <c r="H138" s="132"/>
      <c r="I138" s="20"/>
      <c r="J138" s="20"/>
      <c r="K138" s="20"/>
      <c r="L138" s="20"/>
      <c r="M138" s="20"/>
      <c r="N138" s="20"/>
    </row>
    <row r="139" ht="15.75" customHeight="1">
      <c r="G139" s="132"/>
      <c r="H139" s="132"/>
      <c r="I139" s="20"/>
      <c r="J139" s="20"/>
      <c r="K139" s="20"/>
      <c r="L139" s="20"/>
      <c r="M139" s="20"/>
      <c r="N139" s="20"/>
    </row>
    <row r="140" ht="15.75" customHeight="1">
      <c r="G140" s="132"/>
      <c r="H140" s="132"/>
      <c r="I140" s="20"/>
      <c r="J140" s="20"/>
      <c r="K140" s="20"/>
      <c r="L140" s="20"/>
      <c r="M140" s="20"/>
      <c r="N140" s="20"/>
    </row>
    <row r="141" ht="15.75" customHeight="1">
      <c r="G141" s="132"/>
      <c r="H141" s="132"/>
      <c r="I141" s="20"/>
      <c r="J141" s="20"/>
      <c r="K141" s="20"/>
      <c r="L141" s="20"/>
      <c r="M141" s="20"/>
      <c r="N141" s="20"/>
    </row>
    <row r="142" ht="15.75" customHeight="1">
      <c r="G142" s="132"/>
      <c r="H142" s="132"/>
      <c r="I142" s="20"/>
      <c r="J142" s="20"/>
      <c r="K142" s="20"/>
      <c r="L142" s="20"/>
      <c r="M142" s="20"/>
      <c r="N142" s="20"/>
    </row>
    <row r="143" ht="15.75" customHeight="1">
      <c r="G143" s="132"/>
      <c r="H143" s="132"/>
      <c r="I143" s="20"/>
      <c r="J143" s="20"/>
      <c r="K143" s="20"/>
      <c r="L143" s="20"/>
      <c r="M143" s="20"/>
      <c r="N143" s="20"/>
    </row>
    <row r="144" ht="15.75" customHeight="1">
      <c r="G144" s="132"/>
      <c r="H144" s="132"/>
      <c r="I144" s="20"/>
      <c r="J144" s="20"/>
      <c r="K144" s="20"/>
      <c r="L144" s="20"/>
      <c r="M144" s="20"/>
      <c r="N144" s="20"/>
    </row>
    <row r="145" ht="15.75" customHeight="1">
      <c r="G145" s="132"/>
      <c r="H145" s="132"/>
      <c r="I145" s="20"/>
      <c r="J145" s="20"/>
      <c r="K145" s="20"/>
      <c r="L145" s="20"/>
      <c r="M145" s="20"/>
      <c r="N145" s="20"/>
    </row>
    <row r="146" ht="15.75" customHeight="1">
      <c r="G146" s="132"/>
      <c r="H146" s="132"/>
      <c r="I146" s="20"/>
      <c r="J146" s="20"/>
      <c r="K146" s="20"/>
      <c r="L146" s="20"/>
      <c r="M146" s="20"/>
      <c r="N146" s="20"/>
    </row>
    <row r="147" ht="15.75" customHeight="1">
      <c r="G147" s="132"/>
      <c r="H147" s="132"/>
      <c r="I147" s="20"/>
      <c r="J147" s="20"/>
      <c r="K147" s="20"/>
      <c r="L147" s="20"/>
      <c r="M147" s="20"/>
      <c r="N147" s="20"/>
    </row>
    <row r="148" ht="15.75" customHeight="1">
      <c r="G148" s="132"/>
      <c r="H148" s="132"/>
      <c r="I148" s="20"/>
      <c r="J148" s="20"/>
      <c r="K148" s="20"/>
      <c r="L148" s="20"/>
      <c r="M148" s="20"/>
      <c r="N148" s="20"/>
    </row>
    <row r="149" ht="15.75" customHeight="1">
      <c r="G149" s="132"/>
      <c r="H149" s="132"/>
      <c r="I149" s="20"/>
      <c r="J149" s="20"/>
      <c r="K149" s="20"/>
      <c r="L149" s="20"/>
      <c r="M149" s="20"/>
      <c r="N149" s="20"/>
    </row>
    <row r="150" ht="15.75" customHeight="1">
      <c r="G150" s="132"/>
      <c r="H150" s="132"/>
      <c r="I150" s="20"/>
      <c r="J150" s="20"/>
      <c r="K150" s="20"/>
      <c r="L150" s="20"/>
      <c r="M150" s="20"/>
      <c r="N150" s="20"/>
    </row>
    <row r="151" ht="15.75" customHeight="1">
      <c r="G151" s="132"/>
      <c r="H151" s="132"/>
      <c r="I151" s="20"/>
      <c r="J151" s="20"/>
      <c r="K151" s="20"/>
      <c r="L151" s="20"/>
      <c r="M151" s="20"/>
      <c r="N151" s="20"/>
    </row>
    <row r="152" ht="15.75" customHeight="1">
      <c r="G152" s="132"/>
      <c r="H152" s="132"/>
      <c r="I152" s="20"/>
      <c r="J152" s="20"/>
      <c r="K152" s="20"/>
      <c r="L152" s="20"/>
      <c r="M152" s="20"/>
      <c r="N152" s="20"/>
    </row>
    <row r="153" ht="15.75" customHeight="1">
      <c r="G153" s="132"/>
      <c r="H153" s="132"/>
      <c r="I153" s="20"/>
      <c r="J153" s="20"/>
      <c r="K153" s="20"/>
      <c r="L153" s="20"/>
      <c r="M153" s="20"/>
      <c r="N153" s="20"/>
    </row>
    <row r="154" ht="15.75" customHeight="1">
      <c r="G154" s="132"/>
      <c r="H154" s="132"/>
      <c r="I154" s="20"/>
      <c r="J154" s="20"/>
      <c r="K154" s="20"/>
      <c r="L154" s="20"/>
      <c r="M154" s="20"/>
      <c r="N154" s="20"/>
    </row>
    <row r="155" ht="15.75" customHeight="1">
      <c r="G155" s="132"/>
      <c r="H155" s="132"/>
      <c r="I155" s="20"/>
      <c r="J155" s="20"/>
      <c r="K155" s="20"/>
      <c r="L155" s="20"/>
      <c r="M155" s="20"/>
      <c r="N155" s="20"/>
    </row>
    <row r="156" ht="15.75" customHeight="1">
      <c r="G156" s="132"/>
      <c r="H156" s="132"/>
      <c r="I156" s="20"/>
      <c r="J156" s="20"/>
      <c r="K156" s="20"/>
      <c r="L156" s="20"/>
      <c r="M156" s="20"/>
      <c r="N156" s="20"/>
    </row>
    <row r="157" ht="15.75" customHeight="1">
      <c r="G157" s="132"/>
      <c r="H157" s="132"/>
      <c r="I157" s="20"/>
      <c r="J157" s="20"/>
      <c r="K157" s="20"/>
      <c r="L157" s="20"/>
      <c r="M157" s="20"/>
      <c r="N157" s="20"/>
    </row>
    <row r="158" ht="15.75" customHeight="1">
      <c r="G158" s="132"/>
      <c r="H158" s="132"/>
      <c r="I158" s="20"/>
      <c r="J158" s="20"/>
      <c r="K158" s="20"/>
      <c r="L158" s="20"/>
      <c r="M158" s="20"/>
      <c r="N158" s="20"/>
    </row>
    <row r="159" ht="15.75" customHeight="1">
      <c r="G159" s="132"/>
      <c r="H159" s="132"/>
      <c r="I159" s="20"/>
      <c r="J159" s="20"/>
      <c r="K159" s="20"/>
      <c r="L159" s="20"/>
      <c r="M159" s="20"/>
      <c r="N159" s="20"/>
    </row>
    <row r="160" ht="15.75" customHeight="1">
      <c r="G160" s="132"/>
      <c r="H160" s="132"/>
      <c r="I160" s="20"/>
      <c r="J160" s="20"/>
      <c r="K160" s="20"/>
      <c r="L160" s="20"/>
      <c r="M160" s="20"/>
      <c r="N160" s="20"/>
    </row>
    <row r="161" ht="15.75" customHeight="1">
      <c r="G161" s="132"/>
      <c r="H161" s="132"/>
      <c r="I161" s="20"/>
      <c r="J161" s="20"/>
      <c r="K161" s="20"/>
      <c r="L161" s="20"/>
      <c r="M161" s="20"/>
      <c r="N161" s="20"/>
    </row>
    <row r="162" ht="15.75" customHeight="1">
      <c r="G162" s="132"/>
      <c r="H162" s="132"/>
      <c r="I162" s="20"/>
      <c r="J162" s="20"/>
      <c r="K162" s="20"/>
      <c r="L162" s="20"/>
      <c r="M162" s="20"/>
      <c r="N162" s="20"/>
    </row>
    <row r="163" ht="15.75" customHeight="1">
      <c r="G163" s="132"/>
      <c r="H163" s="132"/>
      <c r="I163" s="20"/>
      <c r="J163" s="20"/>
      <c r="K163" s="20"/>
      <c r="L163" s="20"/>
      <c r="M163" s="20"/>
      <c r="N163" s="20"/>
    </row>
    <row r="164" ht="15.75" customHeight="1">
      <c r="G164" s="132"/>
      <c r="H164" s="132"/>
      <c r="I164" s="20"/>
      <c r="J164" s="20"/>
      <c r="K164" s="20"/>
      <c r="L164" s="20"/>
      <c r="M164" s="20"/>
      <c r="N164" s="20"/>
    </row>
    <row r="165" ht="15.75" customHeight="1">
      <c r="G165" s="132"/>
      <c r="H165" s="132"/>
      <c r="I165" s="20"/>
      <c r="J165" s="20"/>
      <c r="K165" s="20"/>
      <c r="L165" s="20"/>
      <c r="M165" s="20"/>
      <c r="N165" s="20"/>
    </row>
    <row r="166" ht="15.75" customHeight="1">
      <c r="G166" s="132"/>
      <c r="H166" s="132"/>
      <c r="I166" s="20"/>
      <c r="J166" s="20"/>
      <c r="K166" s="20"/>
      <c r="L166" s="20"/>
      <c r="M166" s="20"/>
      <c r="N166" s="20"/>
    </row>
    <row r="167" ht="15.75" customHeight="1">
      <c r="G167" s="132"/>
      <c r="H167" s="132"/>
      <c r="I167" s="20"/>
      <c r="J167" s="20"/>
      <c r="K167" s="20"/>
      <c r="L167" s="20"/>
      <c r="M167" s="20"/>
      <c r="N167" s="20"/>
    </row>
    <row r="168" ht="15.75" customHeight="1">
      <c r="G168" s="132"/>
      <c r="H168" s="132"/>
      <c r="I168" s="20"/>
      <c r="J168" s="20"/>
      <c r="K168" s="20"/>
      <c r="L168" s="20"/>
      <c r="M168" s="20"/>
      <c r="N168" s="20"/>
    </row>
    <row r="169" ht="15.75" customHeight="1">
      <c r="G169" s="132"/>
      <c r="H169" s="132"/>
      <c r="I169" s="20"/>
      <c r="J169" s="20"/>
      <c r="K169" s="20"/>
      <c r="L169" s="20"/>
      <c r="M169" s="20"/>
      <c r="N169" s="20"/>
    </row>
    <row r="170" ht="15.75" customHeight="1">
      <c r="G170" s="132"/>
      <c r="H170" s="132"/>
      <c r="I170" s="20"/>
      <c r="J170" s="20"/>
      <c r="K170" s="20"/>
      <c r="L170" s="20"/>
      <c r="M170" s="20"/>
      <c r="N170" s="20"/>
    </row>
    <row r="171" ht="15.75" customHeight="1">
      <c r="G171" s="132"/>
      <c r="H171" s="132"/>
      <c r="I171" s="20"/>
      <c r="J171" s="20"/>
      <c r="K171" s="20"/>
      <c r="L171" s="20"/>
      <c r="M171" s="20"/>
      <c r="N171" s="20"/>
    </row>
    <row r="172" ht="15.75" customHeight="1">
      <c r="G172" s="132"/>
      <c r="H172" s="132"/>
      <c r="I172" s="20"/>
      <c r="J172" s="20"/>
      <c r="K172" s="20"/>
      <c r="L172" s="20"/>
      <c r="M172" s="20"/>
      <c r="N172" s="20"/>
    </row>
    <row r="173" ht="15.75" customHeight="1">
      <c r="G173" s="132"/>
      <c r="H173" s="132"/>
      <c r="I173" s="20"/>
      <c r="J173" s="20"/>
      <c r="K173" s="20"/>
      <c r="L173" s="20"/>
      <c r="M173" s="20"/>
      <c r="N173" s="20"/>
    </row>
    <row r="174" ht="15.75" customHeight="1">
      <c r="G174" s="132"/>
      <c r="H174" s="132"/>
      <c r="I174" s="20"/>
      <c r="J174" s="20"/>
      <c r="K174" s="20"/>
      <c r="L174" s="20"/>
      <c r="M174" s="20"/>
      <c r="N174" s="20"/>
    </row>
    <row r="175" ht="15.75" customHeight="1">
      <c r="G175" s="132"/>
      <c r="H175" s="132"/>
      <c r="I175" s="20"/>
      <c r="J175" s="20"/>
      <c r="K175" s="20"/>
      <c r="L175" s="20"/>
      <c r="M175" s="20"/>
      <c r="N175" s="20"/>
    </row>
    <row r="176" ht="15.75" customHeight="1">
      <c r="G176" s="132"/>
      <c r="H176" s="132"/>
      <c r="I176" s="20"/>
      <c r="J176" s="20"/>
      <c r="K176" s="20"/>
      <c r="L176" s="20"/>
      <c r="M176" s="20"/>
      <c r="N176" s="20"/>
    </row>
    <row r="177" ht="15.75" customHeight="1">
      <c r="G177" s="132"/>
      <c r="H177" s="132"/>
      <c r="I177" s="20"/>
      <c r="J177" s="20"/>
      <c r="K177" s="20"/>
      <c r="L177" s="20"/>
      <c r="M177" s="20"/>
      <c r="N177" s="20"/>
    </row>
    <row r="178" ht="15.75" customHeight="1">
      <c r="G178" s="132"/>
      <c r="H178" s="132"/>
      <c r="I178" s="20"/>
      <c r="J178" s="20"/>
      <c r="K178" s="20"/>
      <c r="L178" s="20"/>
      <c r="M178" s="20"/>
      <c r="N178" s="20"/>
    </row>
    <row r="179" ht="15.75" customHeight="1">
      <c r="G179" s="132"/>
      <c r="H179" s="132"/>
      <c r="I179" s="20"/>
      <c r="J179" s="20"/>
      <c r="K179" s="20"/>
      <c r="L179" s="20"/>
      <c r="M179" s="20"/>
      <c r="N179" s="20"/>
    </row>
    <row r="180" ht="15.75" customHeight="1">
      <c r="G180" s="132"/>
      <c r="H180" s="132"/>
      <c r="I180" s="20"/>
      <c r="J180" s="20"/>
      <c r="K180" s="20"/>
      <c r="L180" s="20"/>
      <c r="M180" s="20"/>
      <c r="N180" s="20"/>
    </row>
    <row r="181" ht="15.75" customHeight="1">
      <c r="G181" s="132"/>
      <c r="H181" s="132"/>
      <c r="I181" s="20"/>
      <c r="J181" s="20"/>
      <c r="K181" s="20"/>
      <c r="L181" s="20"/>
      <c r="M181" s="20"/>
      <c r="N181" s="20"/>
    </row>
    <row r="182" ht="15.75" customHeight="1">
      <c r="G182" s="132"/>
      <c r="H182" s="132"/>
      <c r="I182" s="20"/>
      <c r="J182" s="20"/>
      <c r="K182" s="20"/>
      <c r="L182" s="20"/>
      <c r="M182" s="20"/>
      <c r="N182" s="20"/>
    </row>
    <row r="183" ht="15.75" customHeight="1">
      <c r="G183" s="132"/>
      <c r="H183" s="132"/>
      <c r="I183" s="20"/>
      <c r="J183" s="20"/>
      <c r="K183" s="20"/>
      <c r="L183" s="20"/>
      <c r="M183" s="20"/>
      <c r="N183" s="20"/>
    </row>
    <row r="184" ht="15.75" customHeight="1">
      <c r="G184" s="132"/>
      <c r="H184" s="132"/>
      <c r="I184" s="20"/>
      <c r="J184" s="20"/>
      <c r="K184" s="20"/>
      <c r="L184" s="20"/>
      <c r="M184" s="20"/>
      <c r="N184" s="20"/>
    </row>
    <row r="185" ht="15.75" customHeight="1">
      <c r="G185" s="132"/>
      <c r="H185" s="132"/>
      <c r="I185" s="20"/>
      <c r="J185" s="20"/>
      <c r="K185" s="20"/>
      <c r="L185" s="20"/>
      <c r="M185" s="20"/>
      <c r="N185" s="20"/>
    </row>
    <row r="186" ht="15.75" customHeight="1">
      <c r="G186" s="132"/>
      <c r="H186" s="132"/>
      <c r="I186" s="20"/>
      <c r="J186" s="20"/>
      <c r="K186" s="20"/>
      <c r="L186" s="20"/>
      <c r="M186" s="20"/>
      <c r="N186" s="20"/>
    </row>
    <row r="187" ht="15.75" customHeight="1">
      <c r="G187" s="132"/>
      <c r="H187" s="132"/>
      <c r="I187" s="20"/>
      <c r="J187" s="20"/>
      <c r="K187" s="20"/>
      <c r="L187" s="20"/>
      <c r="M187" s="20"/>
      <c r="N187" s="20"/>
    </row>
    <row r="188" ht="15.75" customHeight="1">
      <c r="G188" s="132"/>
      <c r="H188" s="132"/>
      <c r="I188" s="20"/>
      <c r="J188" s="20"/>
      <c r="K188" s="20"/>
      <c r="L188" s="20"/>
      <c r="M188" s="20"/>
      <c r="N188" s="20"/>
    </row>
    <row r="189" ht="15.75" customHeight="1">
      <c r="G189" s="132"/>
      <c r="H189" s="132"/>
      <c r="I189" s="20"/>
      <c r="J189" s="20"/>
      <c r="K189" s="20"/>
      <c r="L189" s="20"/>
      <c r="M189" s="20"/>
      <c r="N189" s="20"/>
    </row>
    <row r="190" ht="15.75" customHeight="1">
      <c r="G190" s="132"/>
      <c r="H190" s="132"/>
      <c r="I190" s="20"/>
      <c r="J190" s="20"/>
      <c r="K190" s="20"/>
      <c r="L190" s="20"/>
      <c r="M190" s="20"/>
      <c r="N190" s="20"/>
    </row>
    <row r="191" ht="15.75" customHeight="1">
      <c r="G191" s="132"/>
      <c r="H191" s="132"/>
      <c r="I191" s="20"/>
      <c r="J191" s="20"/>
      <c r="K191" s="20"/>
      <c r="L191" s="20"/>
      <c r="M191" s="20"/>
      <c r="N191" s="20"/>
    </row>
    <row r="192" ht="15.75" customHeight="1">
      <c r="G192" s="132"/>
      <c r="H192" s="132"/>
      <c r="I192" s="20"/>
      <c r="J192" s="20"/>
      <c r="K192" s="20"/>
      <c r="L192" s="20"/>
      <c r="M192" s="20"/>
      <c r="N192" s="20"/>
    </row>
    <row r="193" ht="15.75" customHeight="1">
      <c r="G193" s="132"/>
      <c r="H193" s="132"/>
      <c r="I193" s="20"/>
      <c r="J193" s="20"/>
      <c r="K193" s="20"/>
      <c r="L193" s="20"/>
      <c r="M193" s="20"/>
      <c r="N193" s="20"/>
    </row>
    <row r="194" ht="15.75" customHeight="1">
      <c r="G194" s="132"/>
      <c r="H194" s="132"/>
      <c r="I194" s="20"/>
      <c r="J194" s="20"/>
      <c r="K194" s="20"/>
      <c r="L194" s="20"/>
      <c r="M194" s="20"/>
      <c r="N194" s="20"/>
    </row>
    <row r="195" ht="15.75" customHeight="1">
      <c r="G195" s="132"/>
      <c r="H195" s="132"/>
      <c r="I195" s="20"/>
      <c r="J195" s="20"/>
      <c r="K195" s="20"/>
      <c r="L195" s="20"/>
      <c r="M195" s="20"/>
      <c r="N195" s="20"/>
    </row>
    <row r="196" ht="15.75" customHeight="1">
      <c r="G196" s="132"/>
      <c r="H196" s="132"/>
      <c r="I196" s="20"/>
      <c r="J196" s="20"/>
      <c r="K196" s="20"/>
      <c r="L196" s="20"/>
      <c r="M196" s="20"/>
      <c r="N196" s="20"/>
    </row>
    <row r="197" ht="15.75" customHeight="1">
      <c r="G197" s="132"/>
      <c r="H197" s="132"/>
      <c r="I197" s="20"/>
      <c r="J197" s="20"/>
      <c r="K197" s="20"/>
      <c r="L197" s="20"/>
      <c r="M197" s="20"/>
      <c r="N197" s="20"/>
    </row>
    <row r="198" ht="15.75" customHeight="1">
      <c r="G198" s="132"/>
      <c r="H198" s="132"/>
      <c r="I198" s="20"/>
      <c r="J198" s="20"/>
      <c r="K198" s="20"/>
      <c r="L198" s="20"/>
      <c r="M198" s="20"/>
      <c r="N198" s="20"/>
    </row>
    <row r="199" ht="15.75" customHeight="1">
      <c r="G199" s="132"/>
      <c r="H199" s="132"/>
      <c r="I199" s="20"/>
      <c r="J199" s="20"/>
      <c r="K199" s="20"/>
      <c r="L199" s="20"/>
      <c r="M199" s="20"/>
      <c r="N199" s="20"/>
    </row>
    <row r="200" ht="15.75" customHeight="1">
      <c r="G200" s="132"/>
      <c r="H200" s="132"/>
      <c r="I200" s="20"/>
      <c r="J200" s="20"/>
      <c r="K200" s="20"/>
      <c r="L200" s="20"/>
      <c r="M200" s="20"/>
      <c r="N200" s="20"/>
    </row>
    <row r="201" ht="15.75" customHeight="1">
      <c r="G201" s="132"/>
      <c r="H201" s="132"/>
      <c r="I201" s="20"/>
      <c r="J201" s="20"/>
      <c r="K201" s="20"/>
      <c r="L201" s="20"/>
      <c r="M201" s="20"/>
      <c r="N201" s="20"/>
    </row>
    <row r="202" ht="15.75" customHeight="1">
      <c r="G202" s="132"/>
      <c r="H202" s="132"/>
      <c r="I202" s="20"/>
      <c r="J202" s="20"/>
      <c r="K202" s="20"/>
      <c r="L202" s="20"/>
      <c r="M202" s="20"/>
      <c r="N202" s="20"/>
    </row>
    <row r="203" ht="15.75" customHeight="1">
      <c r="G203" s="132"/>
      <c r="H203" s="132"/>
      <c r="I203" s="20"/>
      <c r="J203" s="20"/>
      <c r="K203" s="20"/>
      <c r="L203" s="20"/>
      <c r="M203" s="20"/>
      <c r="N203" s="20"/>
    </row>
    <row r="204" ht="15.75" customHeight="1">
      <c r="G204" s="132"/>
      <c r="H204" s="132"/>
      <c r="I204" s="20"/>
      <c r="J204" s="20"/>
      <c r="K204" s="20"/>
      <c r="L204" s="20"/>
      <c r="M204" s="20"/>
      <c r="N204" s="20"/>
    </row>
    <row r="205" ht="15.75" customHeight="1">
      <c r="G205" s="132"/>
      <c r="H205" s="132"/>
      <c r="I205" s="20"/>
      <c r="J205" s="20"/>
      <c r="K205" s="20"/>
      <c r="L205" s="20"/>
      <c r="M205" s="20"/>
      <c r="N205" s="20"/>
    </row>
    <row r="206" ht="15.75" customHeight="1">
      <c r="G206" s="132"/>
      <c r="H206" s="132"/>
      <c r="I206" s="20"/>
      <c r="J206" s="20"/>
      <c r="K206" s="20"/>
      <c r="L206" s="20"/>
      <c r="M206" s="20"/>
      <c r="N206" s="20"/>
    </row>
    <row r="207" ht="15.75" customHeight="1">
      <c r="G207" s="132"/>
      <c r="H207" s="132"/>
      <c r="I207" s="20"/>
      <c r="J207" s="20"/>
      <c r="K207" s="20"/>
      <c r="L207" s="20"/>
      <c r="M207" s="20"/>
      <c r="N207" s="20"/>
    </row>
    <row r="208" ht="15.75" customHeight="1">
      <c r="G208" s="132"/>
      <c r="H208" s="132"/>
      <c r="I208" s="20"/>
      <c r="J208" s="20"/>
      <c r="K208" s="20"/>
      <c r="L208" s="20"/>
      <c r="M208" s="20"/>
      <c r="N208" s="20"/>
    </row>
    <row r="209" ht="15.75" customHeight="1">
      <c r="G209" s="132"/>
      <c r="H209" s="132"/>
      <c r="I209" s="20"/>
      <c r="J209" s="20"/>
      <c r="K209" s="20"/>
      <c r="L209" s="20"/>
      <c r="M209" s="20"/>
      <c r="N209" s="20"/>
    </row>
    <row r="210" ht="15.75" customHeight="1">
      <c r="G210" s="132"/>
      <c r="H210" s="132"/>
      <c r="I210" s="20"/>
      <c r="J210" s="20"/>
      <c r="K210" s="20"/>
      <c r="L210" s="20"/>
      <c r="M210" s="20"/>
      <c r="N210" s="20"/>
    </row>
    <row r="211" ht="15.75" customHeight="1">
      <c r="G211" s="132"/>
      <c r="H211" s="132"/>
      <c r="I211" s="20"/>
      <c r="J211" s="20"/>
      <c r="K211" s="20"/>
      <c r="L211" s="20"/>
      <c r="M211" s="20"/>
      <c r="N211" s="20"/>
    </row>
    <row r="212" ht="15.75" customHeight="1">
      <c r="G212" s="132"/>
      <c r="H212" s="132"/>
      <c r="I212" s="20"/>
      <c r="J212" s="20"/>
      <c r="K212" s="20"/>
      <c r="L212" s="20"/>
      <c r="M212" s="20"/>
      <c r="N212" s="20"/>
    </row>
    <row r="213" ht="15.75" customHeight="1">
      <c r="G213" s="132"/>
      <c r="H213" s="132"/>
      <c r="I213" s="20"/>
      <c r="J213" s="20"/>
      <c r="K213" s="20"/>
      <c r="L213" s="20"/>
      <c r="M213" s="20"/>
      <c r="N213" s="20"/>
    </row>
    <row r="214" ht="15.75" customHeight="1">
      <c r="G214" s="132"/>
      <c r="H214" s="132"/>
      <c r="I214" s="20"/>
      <c r="J214" s="20"/>
      <c r="K214" s="20"/>
      <c r="L214" s="20"/>
      <c r="M214" s="20"/>
      <c r="N214" s="20"/>
    </row>
    <row r="215" ht="15.75" customHeight="1">
      <c r="G215" s="132"/>
      <c r="H215" s="132"/>
      <c r="I215" s="20"/>
      <c r="J215" s="20"/>
      <c r="K215" s="20"/>
      <c r="L215" s="20"/>
      <c r="M215" s="20"/>
      <c r="N215" s="20"/>
    </row>
    <row r="216" ht="15.75" customHeight="1">
      <c r="G216" s="132"/>
      <c r="H216" s="132"/>
      <c r="I216" s="20"/>
      <c r="J216" s="20"/>
      <c r="K216" s="20"/>
      <c r="L216" s="20"/>
      <c r="M216" s="20"/>
      <c r="N216" s="20"/>
    </row>
    <row r="217" ht="15.75" customHeight="1">
      <c r="G217" s="132"/>
      <c r="H217" s="132"/>
      <c r="I217" s="20"/>
      <c r="J217" s="20"/>
      <c r="K217" s="20"/>
      <c r="L217" s="20"/>
      <c r="M217" s="20"/>
      <c r="N217" s="20"/>
    </row>
    <row r="218" ht="15.75" customHeight="1">
      <c r="G218" s="132"/>
      <c r="H218" s="132"/>
      <c r="I218" s="20"/>
      <c r="J218" s="20"/>
      <c r="K218" s="20"/>
      <c r="L218" s="20"/>
      <c r="M218" s="20"/>
      <c r="N218" s="20"/>
    </row>
    <row r="219" ht="15.75" customHeight="1">
      <c r="G219" s="132"/>
      <c r="H219" s="132"/>
      <c r="I219" s="20"/>
      <c r="J219" s="20"/>
      <c r="K219" s="20"/>
      <c r="L219" s="20"/>
      <c r="M219" s="20"/>
      <c r="N219" s="20"/>
    </row>
    <row r="220" ht="15.75" customHeight="1">
      <c r="G220" s="132"/>
      <c r="H220" s="132"/>
      <c r="I220" s="20"/>
      <c r="J220" s="20"/>
      <c r="K220" s="20"/>
      <c r="L220" s="20"/>
      <c r="M220" s="20"/>
      <c r="N220" s="20"/>
    </row>
    <row r="221" ht="15.75" customHeight="1">
      <c r="G221" s="132"/>
      <c r="H221" s="132"/>
      <c r="I221" s="20"/>
      <c r="J221" s="20"/>
      <c r="K221" s="20"/>
      <c r="L221" s="20"/>
      <c r="M221" s="20"/>
      <c r="N221" s="20"/>
    </row>
    <row r="222" ht="15.75" customHeight="1">
      <c r="G222" s="132"/>
      <c r="H222" s="132"/>
      <c r="I222" s="20"/>
      <c r="J222" s="20"/>
      <c r="K222" s="20"/>
      <c r="L222" s="20"/>
      <c r="M222" s="20"/>
      <c r="N222" s="20"/>
    </row>
    <row r="223" ht="15.75" customHeight="1">
      <c r="G223" s="132"/>
      <c r="H223" s="132"/>
      <c r="I223" s="20"/>
      <c r="J223" s="20"/>
      <c r="K223" s="20"/>
      <c r="L223" s="20"/>
      <c r="M223" s="20"/>
      <c r="N223" s="20"/>
    </row>
    <row r="224" ht="15.75" customHeight="1">
      <c r="G224" s="132"/>
      <c r="H224" s="132"/>
      <c r="I224" s="20"/>
      <c r="J224" s="20"/>
      <c r="K224" s="20"/>
      <c r="L224" s="20"/>
      <c r="M224" s="20"/>
      <c r="N224" s="20"/>
    </row>
    <row r="225" ht="15.75" customHeight="1">
      <c r="G225" s="132"/>
      <c r="H225" s="132"/>
      <c r="I225" s="20"/>
      <c r="J225" s="20"/>
      <c r="K225" s="20"/>
      <c r="L225" s="20"/>
      <c r="M225" s="20"/>
      <c r="N225" s="20"/>
    </row>
    <row r="226" ht="15.75" customHeight="1">
      <c r="G226" s="132"/>
      <c r="H226" s="132"/>
      <c r="I226" s="20"/>
      <c r="J226" s="20"/>
      <c r="K226" s="20"/>
      <c r="L226" s="20"/>
      <c r="M226" s="20"/>
      <c r="N226" s="20"/>
    </row>
    <row r="227" ht="15.75" customHeight="1">
      <c r="G227" s="132"/>
      <c r="H227" s="132"/>
      <c r="I227" s="20"/>
      <c r="J227" s="20"/>
      <c r="K227" s="20"/>
      <c r="L227" s="20"/>
      <c r="M227" s="20"/>
      <c r="N227" s="20"/>
    </row>
    <row r="228" ht="15.75" customHeight="1">
      <c r="G228" s="132"/>
      <c r="H228" s="132"/>
      <c r="I228" s="20"/>
      <c r="J228" s="20"/>
      <c r="K228" s="20"/>
      <c r="L228" s="20"/>
      <c r="M228" s="20"/>
      <c r="N228" s="20"/>
    </row>
    <row r="229" ht="15.75" customHeight="1">
      <c r="G229" s="132"/>
      <c r="H229" s="132"/>
      <c r="I229" s="20"/>
      <c r="J229" s="20"/>
      <c r="K229" s="20"/>
      <c r="L229" s="20"/>
      <c r="M229" s="20"/>
      <c r="N229" s="20"/>
    </row>
    <row r="230" ht="15.75" customHeight="1">
      <c r="G230" s="132"/>
      <c r="H230" s="132"/>
      <c r="I230" s="20"/>
      <c r="J230" s="20"/>
      <c r="K230" s="20"/>
      <c r="L230" s="20"/>
      <c r="M230" s="20"/>
      <c r="N230" s="20"/>
    </row>
    <row r="231" ht="15.75" customHeight="1">
      <c r="G231" s="132"/>
      <c r="H231" s="132"/>
      <c r="I231" s="20"/>
      <c r="J231" s="20"/>
      <c r="K231" s="20"/>
      <c r="L231" s="20"/>
      <c r="M231" s="20"/>
      <c r="N231" s="20"/>
    </row>
    <row r="232" ht="15.75" customHeight="1">
      <c r="G232" s="132"/>
      <c r="H232" s="132"/>
      <c r="I232" s="20"/>
      <c r="J232" s="20"/>
      <c r="K232" s="20"/>
      <c r="L232" s="20"/>
      <c r="M232" s="20"/>
      <c r="N232" s="20"/>
    </row>
    <row r="233" ht="15.75" customHeight="1">
      <c r="G233" s="132"/>
      <c r="H233" s="132"/>
      <c r="I233" s="20"/>
      <c r="J233" s="20"/>
      <c r="K233" s="20"/>
      <c r="L233" s="20"/>
      <c r="M233" s="20"/>
      <c r="N233" s="20"/>
    </row>
    <row r="234" ht="15.75" customHeight="1">
      <c r="G234" s="132"/>
      <c r="H234" s="132"/>
      <c r="I234" s="20"/>
      <c r="J234" s="20"/>
      <c r="K234" s="20"/>
      <c r="L234" s="20"/>
      <c r="M234" s="20"/>
      <c r="N234" s="20"/>
    </row>
    <row r="235" ht="15.75" customHeight="1">
      <c r="G235" s="132"/>
      <c r="H235" s="132"/>
      <c r="I235" s="20"/>
      <c r="J235" s="20"/>
      <c r="K235" s="20"/>
      <c r="L235" s="20"/>
      <c r="M235" s="20"/>
      <c r="N235" s="20"/>
    </row>
    <row r="236" ht="15.75" customHeight="1">
      <c r="G236" s="132"/>
      <c r="H236" s="132"/>
      <c r="I236" s="20"/>
      <c r="J236" s="20"/>
      <c r="K236" s="20"/>
      <c r="L236" s="20"/>
      <c r="M236" s="20"/>
      <c r="N236" s="20"/>
    </row>
    <row r="237" ht="15.75" customHeight="1">
      <c r="G237" s="132"/>
      <c r="H237" s="132"/>
      <c r="I237" s="20"/>
      <c r="J237" s="20"/>
      <c r="K237" s="20"/>
      <c r="L237" s="20"/>
      <c r="M237" s="20"/>
      <c r="N237" s="20"/>
    </row>
    <row r="238" ht="15.75" customHeight="1">
      <c r="G238" s="132"/>
      <c r="H238" s="132"/>
      <c r="I238" s="20"/>
      <c r="J238" s="20"/>
      <c r="K238" s="20"/>
      <c r="L238" s="20"/>
      <c r="M238" s="20"/>
      <c r="N238" s="20"/>
    </row>
    <row r="239" ht="15.75" customHeight="1">
      <c r="G239" s="132"/>
      <c r="H239" s="132"/>
      <c r="I239" s="20"/>
      <c r="J239" s="20"/>
      <c r="K239" s="20"/>
      <c r="L239" s="20"/>
      <c r="M239" s="20"/>
      <c r="N239" s="20"/>
    </row>
    <row r="240" ht="15.75" customHeight="1">
      <c r="G240" s="132"/>
      <c r="H240" s="132"/>
      <c r="I240" s="20"/>
      <c r="J240" s="20"/>
      <c r="K240" s="20"/>
      <c r="L240" s="20"/>
      <c r="M240" s="20"/>
      <c r="N240" s="20"/>
    </row>
    <row r="241" ht="15.75" customHeight="1">
      <c r="G241" s="132"/>
      <c r="H241" s="132"/>
      <c r="I241" s="20"/>
      <c r="J241" s="20"/>
      <c r="K241" s="20"/>
      <c r="L241" s="20"/>
      <c r="M241" s="20"/>
      <c r="N241" s="20"/>
    </row>
    <row r="242" ht="15.75" customHeight="1">
      <c r="G242" s="132"/>
      <c r="H242" s="132"/>
      <c r="I242" s="20"/>
      <c r="J242" s="20"/>
      <c r="K242" s="20"/>
      <c r="L242" s="20"/>
      <c r="M242" s="20"/>
      <c r="N242" s="20"/>
    </row>
    <row r="243" ht="15.75" customHeight="1">
      <c r="G243" s="132"/>
      <c r="H243" s="132"/>
      <c r="I243" s="20"/>
      <c r="J243" s="20"/>
      <c r="K243" s="20"/>
      <c r="L243" s="20"/>
      <c r="M243" s="20"/>
      <c r="N243" s="20"/>
    </row>
    <row r="244" ht="15.75" customHeight="1">
      <c r="G244" s="132"/>
      <c r="H244" s="132"/>
      <c r="I244" s="20"/>
      <c r="J244" s="20"/>
      <c r="K244" s="20"/>
      <c r="L244" s="20"/>
      <c r="M244" s="20"/>
      <c r="N244" s="20"/>
    </row>
    <row r="245" ht="15.75" customHeight="1">
      <c r="G245" s="132"/>
      <c r="H245" s="132"/>
      <c r="I245" s="20"/>
      <c r="J245" s="20"/>
      <c r="K245" s="20"/>
      <c r="L245" s="20"/>
      <c r="M245" s="20"/>
      <c r="N245" s="20"/>
    </row>
    <row r="246" ht="15.75" customHeight="1">
      <c r="G246" s="132"/>
      <c r="H246" s="132"/>
      <c r="I246" s="20"/>
      <c r="J246" s="20"/>
      <c r="K246" s="20"/>
      <c r="L246" s="20"/>
      <c r="M246" s="20"/>
      <c r="N246" s="20"/>
    </row>
    <row r="247" ht="15.75" customHeight="1">
      <c r="G247" s="132"/>
      <c r="H247" s="132"/>
      <c r="I247" s="20"/>
      <c r="J247" s="20"/>
      <c r="K247" s="20"/>
      <c r="L247" s="20"/>
      <c r="M247" s="20"/>
      <c r="N247" s="20"/>
    </row>
    <row r="248" ht="15.75" customHeight="1">
      <c r="G248" s="132"/>
      <c r="H248" s="132"/>
      <c r="I248" s="20"/>
      <c r="J248" s="20"/>
      <c r="K248" s="20"/>
      <c r="L248" s="20"/>
      <c r="M248" s="20"/>
      <c r="N248" s="20"/>
    </row>
    <row r="249" ht="15.75" customHeight="1">
      <c r="G249" s="132"/>
      <c r="H249" s="132"/>
      <c r="I249" s="20"/>
      <c r="J249" s="20"/>
      <c r="K249" s="20"/>
      <c r="L249" s="20"/>
      <c r="M249" s="20"/>
      <c r="N249" s="20"/>
    </row>
    <row r="250" ht="15.75" customHeight="1">
      <c r="G250" s="132"/>
      <c r="H250" s="132"/>
      <c r="I250" s="20"/>
      <c r="J250" s="20"/>
      <c r="K250" s="20"/>
      <c r="L250" s="20"/>
      <c r="M250" s="20"/>
      <c r="N250" s="20"/>
    </row>
    <row r="251" ht="15.75" customHeight="1">
      <c r="G251" s="132"/>
      <c r="H251" s="132"/>
      <c r="I251" s="20"/>
      <c r="J251" s="20"/>
      <c r="K251" s="20"/>
      <c r="L251" s="20"/>
      <c r="M251" s="20"/>
      <c r="N251" s="20"/>
    </row>
    <row r="252" ht="15.75" customHeight="1">
      <c r="G252" s="132"/>
      <c r="H252" s="132"/>
      <c r="I252" s="20"/>
      <c r="J252" s="20"/>
    </row>
    <row r="253" ht="15.75" customHeight="1">
      <c r="G253" s="132"/>
      <c r="H253" s="132"/>
      <c r="I253" s="20"/>
      <c r="J253" s="20"/>
    </row>
    <row r="254" ht="15.75" customHeight="1">
      <c r="G254" s="132"/>
      <c r="H254" s="132"/>
      <c r="I254" s="20"/>
      <c r="J254" s="20"/>
    </row>
    <row r="255" ht="15.75" customHeight="1">
      <c r="G255" s="132"/>
      <c r="H255" s="132"/>
      <c r="I255" s="20"/>
      <c r="J255" s="20"/>
    </row>
    <row r="256" ht="15.75" customHeight="1">
      <c r="G256" s="132"/>
      <c r="H256" s="132"/>
      <c r="I256" s="20"/>
      <c r="J256" s="20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2:H3"/>
    <mergeCell ref="I37:I45"/>
    <mergeCell ref="I46:I55"/>
    <mergeCell ref="A1:H1"/>
    <mergeCell ref="A2:A3"/>
    <mergeCell ref="B2:B3"/>
    <mergeCell ref="C2:C3"/>
    <mergeCell ref="F2:F3"/>
    <mergeCell ref="A5:A13"/>
    <mergeCell ref="A14:A21"/>
  </mergeCells>
  <printOptions/>
  <pageMargins bottom="0.7418688815443435" footer="0.0" header="0.0" left="0.5562378097233259" right="0.40453658888969163" top="0.7585061041681718"/>
  <pageSetup fitToWidth="0" paperSize="8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1.29"/>
    <col customWidth="1" min="9" max="9" width="8.71"/>
  </cols>
  <sheetData>
    <row r="1" ht="14.25" customHeight="1"/>
    <row r="2" ht="14.25" customHeight="1"/>
    <row r="3" ht="14.25" customHeight="1">
      <c r="B3" s="29" t="s">
        <v>127</v>
      </c>
      <c r="C3" s="29" t="s">
        <v>4</v>
      </c>
      <c r="D3" s="29" t="s">
        <v>128</v>
      </c>
      <c r="H3" s="29" t="s">
        <v>129</v>
      </c>
      <c r="I3" s="29" t="s">
        <v>128</v>
      </c>
      <c r="J3" s="29" t="s">
        <v>4</v>
      </c>
      <c r="O3" s="29" t="s">
        <v>130</v>
      </c>
      <c r="P3" s="29" t="s">
        <v>4</v>
      </c>
      <c r="Q3" s="29" t="s">
        <v>128</v>
      </c>
    </row>
    <row r="4" ht="14.25" customHeight="1">
      <c r="B4" s="14" t="s">
        <v>131</v>
      </c>
      <c r="C4" s="14"/>
      <c r="D4" s="14">
        <v>3500.0</v>
      </c>
      <c r="H4" s="14" t="s">
        <v>132</v>
      </c>
      <c r="I4" s="14">
        <v>2800.0</v>
      </c>
      <c r="J4" s="14"/>
      <c r="O4" s="14" t="s">
        <v>133</v>
      </c>
      <c r="P4" s="14"/>
      <c r="Q4" s="14">
        <v>15000.0</v>
      </c>
    </row>
    <row r="5" ht="14.25" customHeight="1">
      <c r="B5" s="14" t="s">
        <v>134</v>
      </c>
      <c r="C5" s="14"/>
      <c r="D5" s="14">
        <v>3500.0</v>
      </c>
      <c r="H5" s="14" t="s">
        <v>135</v>
      </c>
      <c r="I5" s="14">
        <v>2800.0</v>
      </c>
      <c r="J5" s="14"/>
      <c r="O5" s="14"/>
      <c r="P5" s="14"/>
      <c r="Q5" s="14"/>
    </row>
    <row r="6" ht="14.25" customHeight="1">
      <c r="B6" s="133" t="s">
        <v>136</v>
      </c>
      <c r="C6" s="14"/>
      <c r="D6" s="14">
        <f>sum(C4:D5)</f>
        <v>7000</v>
      </c>
      <c r="H6" s="14" t="s">
        <v>137</v>
      </c>
      <c r="I6" s="14">
        <v>2800.0</v>
      </c>
      <c r="J6" s="14"/>
      <c r="O6" s="133"/>
      <c r="P6" s="14"/>
      <c r="Q6" s="14"/>
    </row>
    <row r="7" ht="14.25" customHeight="1">
      <c r="H7" s="14" t="s">
        <v>138</v>
      </c>
      <c r="I7" s="14">
        <v>2800.0</v>
      </c>
      <c r="J7" s="14">
        <v>-4800.0</v>
      </c>
      <c r="L7" s="11" t="s">
        <v>139</v>
      </c>
      <c r="O7" s="133"/>
      <c r="P7" s="14"/>
      <c r="Q7" s="14"/>
    </row>
    <row r="8" ht="14.25" customHeight="1">
      <c r="H8" s="14" t="s">
        <v>140</v>
      </c>
      <c r="I8" s="14">
        <v>2800.0</v>
      </c>
      <c r="J8" s="14"/>
      <c r="O8" s="133" t="s">
        <v>136</v>
      </c>
      <c r="P8" s="14"/>
      <c r="Q8" s="14">
        <f>sum(P4:Q7)</f>
        <v>15000</v>
      </c>
    </row>
    <row r="9" ht="14.25" customHeight="1">
      <c r="B9" s="29" t="s">
        <v>141</v>
      </c>
      <c r="C9" s="29" t="s">
        <v>4</v>
      </c>
      <c r="D9" s="29" t="s">
        <v>128</v>
      </c>
      <c r="H9" s="14" t="s">
        <v>142</v>
      </c>
      <c r="I9" s="29">
        <v>2800.0</v>
      </c>
      <c r="J9" s="14">
        <v>-7000.0</v>
      </c>
      <c r="L9" s="11" t="str">
        <f>sum(#REF!,I11:J11,#REF!,#REF!)</f>
        <v>#REF!</v>
      </c>
    </row>
    <row r="10" ht="14.25" customHeight="1">
      <c r="B10" s="14" t="s">
        <v>143</v>
      </c>
      <c r="C10" s="14"/>
      <c r="D10" s="14">
        <v>11000.0</v>
      </c>
      <c r="H10" s="29" t="s">
        <v>144</v>
      </c>
      <c r="I10" s="29">
        <v>2300.0</v>
      </c>
      <c r="J10" s="14"/>
    </row>
    <row r="11" ht="14.25" customHeight="1">
      <c r="B11" s="14" t="s">
        <v>145</v>
      </c>
      <c r="C11" s="14">
        <v>-11000.0</v>
      </c>
      <c r="D11" s="14">
        <v>3000.0</v>
      </c>
      <c r="H11" s="29" t="s">
        <v>146</v>
      </c>
      <c r="I11" s="29">
        <v>2300.0</v>
      </c>
      <c r="J11" s="14">
        <v>-5000.0</v>
      </c>
    </row>
    <row r="12" ht="14.25" customHeight="1">
      <c r="B12" s="14"/>
      <c r="C12" s="14" t="s">
        <v>136</v>
      </c>
      <c r="D12" s="14">
        <f>SUM(C10:D11)</f>
        <v>3000</v>
      </c>
      <c r="H12" s="29" t="s">
        <v>147</v>
      </c>
      <c r="I12" s="29">
        <v>2300.0</v>
      </c>
      <c r="J12" s="14"/>
    </row>
    <row r="13" ht="14.25" customHeight="1">
      <c r="H13" s="29" t="s">
        <v>148</v>
      </c>
      <c r="I13" s="29">
        <v>2300.0</v>
      </c>
      <c r="J13" s="14"/>
    </row>
    <row r="14" ht="14.25" customHeight="1">
      <c r="B14" s="29" t="s">
        <v>149</v>
      </c>
      <c r="C14" s="29" t="s">
        <v>4</v>
      </c>
      <c r="D14" s="29" t="s">
        <v>128</v>
      </c>
      <c r="H14" s="29" t="s">
        <v>150</v>
      </c>
      <c r="I14" s="29">
        <v>2300.0</v>
      </c>
      <c r="J14" s="14">
        <v>-5000.0</v>
      </c>
    </row>
    <row r="15" ht="14.25" customHeight="1">
      <c r="B15" s="14" t="s">
        <v>151</v>
      </c>
      <c r="C15" s="14"/>
      <c r="D15" s="14">
        <v>2000.0</v>
      </c>
      <c r="H15" s="29" t="s">
        <v>152</v>
      </c>
      <c r="I15" s="29">
        <v>2300.0</v>
      </c>
      <c r="J15" s="14"/>
    </row>
    <row r="16" ht="14.25" customHeight="1">
      <c r="B16" s="14" t="s">
        <v>132</v>
      </c>
      <c r="C16" s="14"/>
      <c r="D16" s="14">
        <v>1000.0</v>
      </c>
      <c r="H16" s="29" t="s">
        <v>153</v>
      </c>
      <c r="I16" s="29">
        <v>2300.0</v>
      </c>
      <c r="J16" s="14"/>
    </row>
    <row r="17" ht="14.25" customHeight="1">
      <c r="B17" s="14" t="s">
        <v>135</v>
      </c>
      <c r="C17" s="14"/>
      <c r="D17" s="14">
        <v>1000.0</v>
      </c>
      <c r="H17" s="29" t="s">
        <v>154</v>
      </c>
      <c r="I17" s="29">
        <v>2300.0</v>
      </c>
      <c r="J17" s="14">
        <v>-5000.0</v>
      </c>
    </row>
    <row r="18" ht="14.25" customHeight="1">
      <c r="B18" s="14" t="s">
        <v>155</v>
      </c>
      <c r="C18" s="14"/>
      <c r="D18" s="14">
        <f>12*1000</f>
        <v>12000</v>
      </c>
      <c r="H18" s="29" t="s">
        <v>156</v>
      </c>
      <c r="I18" s="29">
        <v>2300.0</v>
      </c>
      <c r="J18" s="14">
        <v>-5000.0</v>
      </c>
    </row>
    <row r="19" ht="14.25" customHeight="1">
      <c r="B19" s="14" t="s">
        <v>157</v>
      </c>
      <c r="C19" s="14"/>
      <c r="D19" s="14">
        <f>3*1000</f>
        <v>3000</v>
      </c>
      <c r="H19" s="29" t="s">
        <v>158</v>
      </c>
      <c r="I19" s="29">
        <f>2300*3</f>
        <v>6900</v>
      </c>
      <c r="J19" s="14"/>
    </row>
    <row r="20" ht="14.25" customHeight="1">
      <c r="B20" s="14" t="s">
        <v>159</v>
      </c>
      <c r="C20" s="134" t="s">
        <v>160</v>
      </c>
      <c r="D20" s="38"/>
      <c r="H20" s="29" t="s">
        <v>161</v>
      </c>
      <c r="I20" s="29">
        <v>2300.0</v>
      </c>
      <c r="J20" s="14">
        <v>-2500.0</v>
      </c>
    </row>
    <row r="21" ht="14.25" customHeight="1">
      <c r="B21" s="14"/>
      <c r="C21" s="14" t="s">
        <v>136</v>
      </c>
      <c r="D21" s="14">
        <f>SUM(C15:D20)</f>
        <v>19000</v>
      </c>
      <c r="H21" s="29" t="s">
        <v>162</v>
      </c>
      <c r="I21" s="29">
        <v>2300.0</v>
      </c>
      <c r="J21" s="14">
        <v>-5000.0</v>
      </c>
    </row>
    <row r="22" ht="14.25" customHeight="1">
      <c r="H22" s="29" t="s">
        <v>163</v>
      </c>
      <c r="I22" s="29">
        <v>2300.0</v>
      </c>
      <c r="J22" s="14">
        <v>-6700.0</v>
      </c>
    </row>
    <row r="23" ht="14.25" customHeight="1">
      <c r="H23" s="29" t="s">
        <v>164</v>
      </c>
      <c r="I23" s="29">
        <v>3000.0</v>
      </c>
      <c r="J23" s="14"/>
    </row>
    <row r="24" ht="14.25" customHeight="1">
      <c r="B24" s="29" t="s">
        <v>165</v>
      </c>
      <c r="C24" s="29" t="s">
        <v>4</v>
      </c>
      <c r="D24" s="29" t="s">
        <v>128</v>
      </c>
      <c r="H24" s="29" t="s">
        <v>166</v>
      </c>
      <c r="I24" s="29">
        <v>3000.0</v>
      </c>
      <c r="J24" s="14">
        <v>-6300.0</v>
      </c>
    </row>
    <row r="25" ht="14.25" customHeight="1">
      <c r="B25" s="14" t="s">
        <v>161</v>
      </c>
      <c r="C25" s="14"/>
      <c r="D25" s="14">
        <v>1000.0</v>
      </c>
      <c r="H25" s="29" t="s">
        <v>167</v>
      </c>
      <c r="I25" s="134" t="s">
        <v>160</v>
      </c>
      <c r="J25" s="38"/>
    </row>
    <row r="26" ht="14.25" customHeight="1">
      <c r="B26" s="14" t="s">
        <v>162</v>
      </c>
      <c r="C26" s="14"/>
      <c r="D26" s="14">
        <v>2300.0</v>
      </c>
      <c r="H26" s="29" t="s">
        <v>168</v>
      </c>
      <c r="I26" s="29">
        <v>3000.0</v>
      </c>
      <c r="J26" s="14"/>
    </row>
    <row r="27" ht="14.25" customHeight="1">
      <c r="B27" s="14" t="s">
        <v>163</v>
      </c>
      <c r="C27" s="134" t="s">
        <v>169</v>
      </c>
      <c r="D27" s="38"/>
      <c r="H27" s="29" t="s">
        <v>170</v>
      </c>
      <c r="I27" s="29">
        <v>3000.0</v>
      </c>
      <c r="J27" s="14">
        <v>-6000.0</v>
      </c>
    </row>
    <row r="28" ht="14.25" customHeight="1">
      <c r="B28" s="14"/>
      <c r="C28" s="14" t="s">
        <v>136</v>
      </c>
      <c r="D28" s="14">
        <f>SUM(C25:D26)</f>
        <v>3300</v>
      </c>
      <c r="H28" s="29" t="s">
        <v>171</v>
      </c>
      <c r="I28" s="29">
        <v>3000.0</v>
      </c>
      <c r="J28" s="14"/>
    </row>
    <row r="29" ht="14.25" customHeight="1">
      <c r="H29" s="29" t="s">
        <v>145</v>
      </c>
      <c r="I29" s="29">
        <v>3000.0</v>
      </c>
      <c r="J29" s="14">
        <v>-9000.0</v>
      </c>
    </row>
    <row r="30" ht="14.25" customHeight="1">
      <c r="H30" s="29" t="s">
        <v>172</v>
      </c>
      <c r="I30" s="29"/>
      <c r="J30" s="14" t="s">
        <v>173</v>
      </c>
    </row>
    <row r="31" ht="14.25" customHeight="1">
      <c r="H31" s="29" t="s">
        <v>174</v>
      </c>
      <c r="I31" s="29"/>
      <c r="J31" s="14" t="s">
        <v>173</v>
      </c>
    </row>
    <row r="32" ht="14.25" customHeight="1">
      <c r="H32" s="29" t="s">
        <v>175</v>
      </c>
      <c r="I32" s="29"/>
      <c r="J32" s="14" t="s">
        <v>173</v>
      </c>
    </row>
    <row r="33" ht="14.25" customHeight="1">
      <c r="H33" s="29" t="s">
        <v>176</v>
      </c>
      <c r="I33" s="29">
        <v>3000.0</v>
      </c>
      <c r="J33" s="14"/>
    </row>
    <row r="34" ht="14.25" customHeight="1">
      <c r="H34" s="29" t="s">
        <v>177</v>
      </c>
      <c r="I34" s="29"/>
      <c r="J34" s="14" t="s">
        <v>173</v>
      </c>
    </row>
    <row r="35" ht="14.25" customHeight="1">
      <c r="H35" s="29" t="s">
        <v>178</v>
      </c>
      <c r="I35" s="29"/>
      <c r="J35" s="14"/>
    </row>
    <row r="36" ht="14.25" customHeight="1">
      <c r="H36" s="29" t="s">
        <v>136</v>
      </c>
      <c r="I36" s="29">
        <f>SUM(I4:J35)</f>
        <v>5000</v>
      </c>
      <c r="J36" s="14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3">
    <mergeCell ref="C20:D20"/>
    <mergeCell ref="I25:J25"/>
    <mergeCell ref="C27:D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